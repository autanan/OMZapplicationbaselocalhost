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B-PC\Desktop\Elderly\"/>
    </mc:Choice>
  </mc:AlternateContent>
  <xr:revisionPtr revIDLastSave="0" documentId="13_ncr:1_{10A1AD6E-7AB3-4A33-A1D5-321F718414BA}" xr6:coauthVersionLast="47" xr6:coauthVersionMax="47" xr10:uidLastSave="{00000000-0000-0000-0000-000000000000}"/>
  <bookViews>
    <workbookView xWindow="-28920" yWindow="-120" windowWidth="29040" windowHeight="15840" activeTab="5" xr2:uid="{D1AC48B8-3957-3F42-948A-52C2353351F3}"/>
  </bookViews>
  <sheets>
    <sheet name="Data" sheetId="1" r:id="rId1"/>
    <sheet name="Questionaire" sheetId="2" r:id="rId2"/>
    <sheet name="Data_Adj" sheetId="4" r:id="rId3"/>
    <sheet name="LaLong" sheetId="6" r:id="rId4"/>
    <sheet name="Distance" sheetId="8" r:id="rId5"/>
    <sheet name="Input" sheetId="5" r:id="rId6"/>
    <sheet name="Time" sheetId="7" r:id="rId7"/>
    <sheet name="Cost" sheetId="9" r:id="rId8"/>
    <sheet name="Sheet1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" i="4" l="1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3" i="4"/>
  <c r="B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4" i="9"/>
  <c r="C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5" i="9"/>
  <c r="C5" i="9"/>
  <c r="D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6" i="9"/>
  <c r="C6" i="9"/>
  <c r="D6" i="9"/>
  <c r="E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7" i="9"/>
  <c r="C7" i="9"/>
  <c r="D7" i="9"/>
  <c r="E7" i="9"/>
  <c r="F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8" i="9"/>
  <c r="C8" i="9"/>
  <c r="D8" i="9"/>
  <c r="E8" i="9"/>
  <c r="F8" i="9"/>
  <c r="G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9" i="9"/>
  <c r="C9" i="9"/>
  <c r="D9" i="9"/>
  <c r="E9" i="9"/>
  <c r="F9" i="9"/>
  <c r="G9" i="9"/>
  <c r="H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10" i="9"/>
  <c r="C10" i="9"/>
  <c r="D10" i="9"/>
  <c r="E10" i="9"/>
  <c r="F10" i="9"/>
  <c r="G10" i="9"/>
  <c r="H10" i="9"/>
  <c r="I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11" i="9"/>
  <c r="C11" i="9"/>
  <c r="D11" i="9"/>
  <c r="E11" i="9"/>
  <c r="F11" i="9"/>
  <c r="G11" i="9"/>
  <c r="H11" i="9"/>
  <c r="I11" i="9"/>
  <c r="J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12" i="9"/>
  <c r="C12" i="9"/>
  <c r="D12" i="9"/>
  <c r="E12" i="9"/>
  <c r="F12" i="9"/>
  <c r="G12" i="9"/>
  <c r="H12" i="9"/>
  <c r="I12" i="9"/>
  <c r="J12" i="9"/>
  <c r="K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13" i="9"/>
  <c r="C13" i="9"/>
  <c r="D13" i="9"/>
  <c r="E13" i="9"/>
  <c r="F13" i="9"/>
  <c r="G13" i="9"/>
  <c r="H13" i="9"/>
  <c r="I13" i="9"/>
  <c r="J13" i="9"/>
  <c r="K13" i="9"/>
  <c r="L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14" i="9"/>
  <c r="C14" i="9"/>
  <c r="D14" i="9"/>
  <c r="E14" i="9"/>
  <c r="F14" i="9"/>
  <c r="G14" i="9"/>
  <c r="H14" i="9"/>
  <c r="I14" i="9"/>
  <c r="J14" i="9"/>
  <c r="K14" i="9"/>
  <c r="L14" i="9"/>
  <c r="M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28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29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30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31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B32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B33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I34" i="9"/>
  <c r="AJ34" i="9"/>
  <c r="AK34" i="9"/>
  <c r="AL34" i="9"/>
  <c r="AM34" i="9"/>
  <c r="AN34" i="9"/>
  <c r="AO34" i="9"/>
  <c r="AP34" i="9"/>
  <c r="AQ34" i="9"/>
  <c r="AR34" i="9"/>
  <c r="AS34" i="9"/>
  <c r="AT34" i="9"/>
  <c r="AU34" i="9"/>
  <c r="AV34" i="9"/>
  <c r="AW34" i="9"/>
  <c r="AX34" i="9"/>
  <c r="AY34" i="9"/>
  <c r="AZ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J35" i="9"/>
  <c r="AK35" i="9"/>
  <c r="AL35" i="9"/>
  <c r="AM35" i="9"/>
  <c r="AN35" i="9"/>
  <c r="AO35" i="9"/>
  <c r="AP35" i="9"/>
  <c r="AQ35" i="9"/>
  <c r="AR35" i="9"/>
  <c r="AS35" i="9"/>
  <c r="AT35" i="9"/>
  <c r="AU35" i="9"/>
  <c r="AV35" i="9"/>
  <c r="AW35" i="9"/>
  <c r="AX35" i="9"/>
  <c r="AY35" i="9"/>
  <c r="AZ35" i="9"/>
  <c r="B36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37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38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M38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B39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40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O40" i="9"/>
  <c r="AP40" i="9"/>
  <c r="AQ40" i="9"/>
  <c r="AR40" i="9"/>
  <c r="AS40" i="9"/>
  <c r="AT40" i="9"/>
  <c r="AU40" i="9"/>
  <c r="AV40" i="9"/>
  <c r="AW40" i="9"/>
  <c r="AX40" i="9"/>
  <c r="AY40" i="9"/>
  <c r="AZ40" i="9"/>
  <c r="B41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P41" i="9"/>
  <c r="AQ41" i="9"/>
  <c r="AR41" i="9"/>
  <c r="AS41" i="9"/>
  <c r="AT41" i="9"/>
  <c r="AU41" i="9"/>
  <c r="AV41" i="9"/>
  <c r="AW41" i="9"/>
  <c r="AX41" i="9"/>
  <c r="AY41" i="9"/>
  <c r="AZ41" i="9"/>
  <c r="B42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Q42" i="9"/>
  <c r="AR42" i="9"/>
  <c r="AS42" i="9"/>
  <c r="AT42" i="9"/>
  <c r="AU42" i="9"/>
  <c r="AV42" i="9"/>
  <c r="AW42" i="9"/>
  <c r="AX42" i="9"/>
  <c r="AY42" i="9"/>
  <c r="AZ42" i="9"/>
  <c r="B43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R43" i="9"/>
  <c r="AS43" i="9"/>
  <c r="AT43" i="9"/>
  <c r="AU43" i="9"/>
  <c r="AV43" i="9"/>
  <c r="AW43" i="9"/>
  <c r="AX43" i="9"/>
  <c r="AY43" i="9"/>
  <c r="AZ43" i="9"/>
  <c r="B44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S44" i="9"/>
  <c r="AT44" i="9"/>
  <c r="AU44" i="9"/>
  <c r="AV44" i="9"/>
  <c r="AW44" i="9"/>
  <c r="AX44" i="9"/>
  <c r="AY44" i="9"/>
  <c r="AZ44" i="9"/>
  <c r="B45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AR45" i="9"/>
  <c r="AT45" i="9"/>
  <c r="AU45" i="9"/>
  <c r="AV45" i="9"/>
  <c r="AW45" i="9"/>
  <c r="AX45" i="9"/>
  <c r="AY45" i="9"/>
  <c r="AZ45" i="9"/>
  <c r="B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AS46" i="9"/>
  <c r="AU46" i="9"/>
  <c r="AV46" i="9"/>
  <c r="AW46" i="9"/>
  <c r="AX46" i="9"/>
  <c r="AY46" i="9"/>
  <c r="AZ46" i="9"/>
  <c r="B47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V47" i="9"/>
  <c r="AW47" i="9"/>
  <c r="AX47" i="9"/>
  <c r="AY47" i="9"/>
  <c r="AZ47" i="9"/>
  <c r="B48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U48" i="9"/>
  <c r="AW48" i="9"/>
  <c r="AX48" i="9"/>
  <c r="AY48" i="9"/>
  <c r="AZ48" i="9"/>
  <c r="B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X49" i="9"/>
  <c r="AY49" i="9"/>
  <c r="AZ49" i="9"/>
  <c r="B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AR50" i="9"/>
  <c r="AS50" i="9"/>
  <c r="AT50" i="9"/>
  <c r="AU50" i="9"/>
  <c r="AV50" i="9"/>
  <c r="AW50" i="9"/>
  <c r="AY50" i="9"/>
  <c r="AZ50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Z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AT23" i="4" l="1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3" i="4"/>
  <c r="K4" i="5"/>
  <c r="K5" i="5"/>
  <c r="K6" i="5"/>
  <c r="K7" i="5"/>
  <c r="L7" i="5"/>
  <c r="K8" i="5"/>
  <c r="I9" i="5"/>
  <c r="K9" i="5"/>
  <c r="F10" i="5"/>
  <c r="K10" i="5"/>
  <c r="K11" i="5"/>
  <c r="K12" i="5"/>
  <c r="K13" i="5"/>
  <c r="K14" i="5"/>
  <c r="H15" i="5"/>
  <c r="K15" i="5"/>
  <c r="K16" i="5"/>
  <c r="M16" i="5"/>
  <c r="K17" i="5"/>
  <c r="K18" i="5"/>
  <c r="K19" i="5"/>
  <c r="L19" i="5"/>
  <c r="K20" i="5"/>
  <c r="I21" i="5"/>
  <c r="K21" i="5"/>
  <c r="F22" i="5"/>
  <c r="K22" i="5"/>
  <c r="K23" i="5"/>
  <c r="I24" i="5"/>
  <c r="K24" i="5"/>
  <c r="K25" i="5"/>
  <c r="K26" i="5"/>
  <c r="H27" i="5"/>
  <c r="K27" i="5"/>
  <c r="K28" i="5"/>
  <c r="M28" i="5"/>
  <c r="K29" i="5"/>
  <c r="K30" i="5"/>
  <c r="K31" i="5"/>
  <c r="L31" i="5"/>
  <c r="K32" i="5"/>
  <c r="I33" i="5"/>
  <c r="K33" i="5"/>
  <c r="F34" i="5"/>
  <c r="K34" i="5"/>
  <c r="K35" i="5"/>
  <c r="I36" i="5"/>
  <c r="K36" i="5"/>
  <c r="K37" i="5"/>
  <c r="K38" i="5"/>
  <c r="H39" i="5"/>
  <c r="K39" i="5"/>
  <c r="K40" i="5"/>
  <c r="M40" i="5"/>
  <c r="K41" i="5"/>
  <c r="K42" i="5"/>
  <c r="K43" i="5"/>
  <c r="L43" i="5"/>
  <c r="K44" i="5"/>
  <c r="I45" i="5"/>
  <c r="K45" i="5"/>
  <c r="F46" i="5"/>
  <c r="K46" i="5"/>
  <c r="K47" i="5"/>
  <c r="I48" i="5"/>
  <c r="K48" i="5"/>
  <c r="K49" i="5"/>
  <c r="K50" i="5"/>
  <c r="H51" i="5"/>
  <c r="K51" i="5"/>
  <c r="K52" i="5"/>
  <c r="M52" i="5"/>
  <c r="K3" i="5"/>
  <c r="B52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4" i="5"/>
  <c r="B3" i="5"/>
  <c r="N4" i="4"/>
  <c r="G4" i="5" s="1"/>
  <c r="N5" i="4"/>
  <c r="G5" i="5" s="1"/>
  <c r="N6" i="4"/>
  <c r="G6" i="5" s="1"/>
  <c r="N7" i="4"/>
  <c r="G7" i="5" s="1"/>
  <c r="N8" i="4"/>
  <c r="G8" i="5" s="1"/>
  <c r="N9" i="4"/>
  <c r="G9" i="5" s="1"/>
  <c r="N10" i="4"/>
  <c r="G10" i="5" s="1"/>
  <c r="N11" i="4"/>
  <c r="G11" i="5" s="1"/>
  <c r="N12" i="4"/>
  <c r="G12" i="5" s="1"/>
  <c r="N13" i="4"/>
  <c r="G13" i="5" s="1"/>
  <c r="N14" i="4"/>
  <c r="G14" i="5" s="1"/>
  <c r="N15" i="4"/>
  <c r="G15" i="5" s="1"/>
  <c r="N16" i="4"/>
  <c r="G16" i="5" s="1"/>
  <c r="N17" i="4"/>
  <c r="G17" i="5" s="1"/>
  <c r="N18" i="4"/>
  <c r="G18" i="5" s="1"/>
  <c r="N19" i="4"/>
  <c r="G19" i="5" s="1"/>
  <c r="N20" i="4"/>
  <c r="G20" i="5" s="1"/>
  <c r="N21" i="4"/>
  <c r="G21" i="5" s="1"/>
  <c r="N22" i="4"/>
  <c r="G22" i="5" s="1"/>
  <c r="N23" i="4"/>
  <c r="G23" i="5" s="1"/>
  <c r="N24" i="4"/>
  <c r="G24" i="5" s="1"/>
  <c r="N25" i="4"/>
  <c r="G25" i="5" s="1"/>
  <c r="N26" i="4"/>
  <c r="G26" i="5" s="1"/>
  <c r="N27" i="4"/>
  <c r="G27" i="5" s="1"/>
  <c r="N28" i="4"/>
  <c r="G28" i="5" s="1"/>
  <c r="N29" i="4"/>
  <c r="G29" i="5" s="1"/>
  <c r="N30" i="4"/>
  <c r="G30" i="5" s="1"/>
  <c r="N31" i="4"/>
  <c r="G31" i="5" s="1"/>
  <c r="N32" i="4"/>
  <c r="G32" i="5" s="1"/>
  <c r="N33" i="4"/>
  <c r="G33" i="5" s="1"/>
  <c r="N34" i="4"/>
  <c r="G34" i="5" s="1"/>
  <c r="N35" i="4"/>
  <c r="G35" i="5" s="1"/>
  <c r="N36" i="4"/>
  <c r="G36" i="5" s="1"/>
  <c r="N37" i="4"/>
  <c r="N38" i="4"/>
  <c r="G38" i="5" s="1"/>
  <c r="N39" i="4"/>
  <c r="G39" i="5" s="1"/>
  <c r="N40" i="4"/>
  <c r="G40" i="5" s="1"/>
  <c r="N41" i="4"/>
  <c r="G41" i="5" s="1"/>
  <c r="N42" i="4"/>
  <c r="G42" i="5" s="1"/>
  <c r="N43" i="4"/>
  <c r="G43" i="5" s="1"/>
  <c r="N44" i="4"/>
  <c r="G44" i="5" s="1"/>
  <c r="N45" i="4"/>
  <c r="G45" i="5" s="1"/>
  <c r="N46" i="4"/>
  <c r="G46" i="5" s="1"/>
  <c r="N47" i="4"/>
  <c r="G47" i="5" s="1"/>
  <c r="N48" i="4"/>
  <c r="G48" i="5" s="1"/>
  <c r="N49" i="4"/>
  <c r="G49" i="5" s="1"/>
  <c r="N50" i="4"/>
  <c r="G50" i="5" s="1"/>
  <c r="N51" i="4"/>
  <c r="G51" i="5" s="1"/>
  <c r="N52" i="4"/>
  <c r="G52" i="5" s="1"/>
  <c r="T4" i="4"/>
  <c r="H4" i="5" s="1"/>
  <c r="T5" i="4"/>
  <c r="H5" i="5" s="1"/>
  <c r="T6" i="4"/>
  <c r="H6" i="5" s="1"/>
  <c r="T7" i="4"/>
  <c r="H7" i="5" s="1"/>
  <c r="T8" i="4"/>
  <c r="H8" i="5" s="1"/>
  <c r="T9" i="4"/>
  <c r="H9" i="5" s="1"/>
  <c r="T10" i="4"/>
  <c r="H10" i="5" s="1"/>
  <c r="T11" i="4"/>
  <c r="H11" i="5" s="1"/>
  <c r="T12" i="4"/>
  <c r="H12" i="5" s="1"/>
  <c r="T13" i="4"/>
  <c r="H13" i="5" s="1"/>
  <c r="T14" i="4"/>
  <c r="H14" i="5" s="1"/>
  <c r="T15" i="4"/>
  <c r="T16" i="4"/>
  <c r="H16" i="5" s="1"/>
  <c r="T17" i="4"/>
  <c r="H17" i="5" s="1"/>
  <c r="T18" i="4"/>
  <c r="H18" i="5" s="1"/>
  <c r="T19" i="4"/>
  <c r="H19" i="5" s="1"/>
  <c r="T20" i="4"/>
  <c r="H20" i="5" s="1"/>
  <c r="T21" i="4"/>
  <c r="H21" i="5" s="1"/>
  <c r="T22" i="4"/>
  <c r="H22" i="5" s="1"/>
  <c r="T23" i="4"/>
  <c r="H23" i="5" s="1"/>
  <c r="T24" i="4"/>
  <c r="H24" i="5" s="1"/>
  <c r="T25" i="4"/>
  <c r="H25" i="5" s="1"/>
  <c r="T26" i="4"/>
  <c r="H26" i="5" s="1"/>
  <c r="T27" i="4"/>
  <c r="T28" i="4"/>
  <c r="H28" i="5" s="1"/>
  <c r="T29" i="4"/>
  <c r="H29" i="5" s="1"/>
  <c r="T30" i="4"/>
  <c r="H30" i="5" s="1"/>
  <c r="T31" i="4"/>
  <c r="H31" i="5" s="1"/>
  <c r="T32" i="4"/>
  <c r="H32" i="5" s="1"/>
  <c r="T33" i="4"/>
  <c r="H33" i="5" s="1"/>
  <c r="T34" i="4"/>
  <c r="H34" i="5" s="1"/>
  <c r="T35" i="4"/>
  <c r="H35" i="5" s="1"/>
  <c r="T36" i="4"/>
  <c r="H36" i="5" s="1"/>
  <c r="T37" i="4"/>
  <c r="H37" i="5" s="1"/>
  <c r="T38" i="4"/>
  <c r="H38" i="5" s="1"/>
  <c r="T39" i="4"/>
  <c r="T40" i="4"/>
  <c r="H40" i="5" s="1"/>
  <c r="T41" i="4"/>
  <c r="H41" i="5" s="1"/>
  <c r="T42" i="4"/>
  <c r="H42" i="5" s="1"/>
  <c r="T43" i="4"/>
  <c r="H43" i="5" s="1"/>
  <c r="T44" i="4"/>
  <c r="H44" i="5" s="1"/>
  <c r="T45" i="4"/>
  <c r="H45" i="5" s="1"/>
  <c r="T46" i="4"/>
  <c r="H46" i="5" s="1"/>
  <c r="T47" i="4"/>
  <c r="H47" i="5" s="1"/>
  <c r="T48" i="4"/>
  <c r="H48" i="5" s="1"/>
  <c r="T49" i="4"/>
  <c r="H49" i="5" s="1"/>
  <c r="T50" i="4"/>
  <c r="H50" i="5" s="1"/>
  <c r="T51" i="4"/>
  <c r="T52" i="4"/>
  <c r="H52" i="5" s="1"/>
  <c r="Z4" i="4"/>
  <c r="L4" i="5" s="1"/>
  <c r="Z5" i="4"/>
  <c r="L5" i="5" s="1"/>
  <c r="Z6" i="4"/>
  <c r="L6" i="5" s="1"/>
  <c r="Z7" i="4"/>
  <c r="Z8" i="4"/>
  <c r="L8" i="5" s="1"/>
  <c r="Z9" i="4"/>
  <c r="L9" i="5" s="1"/>
  <c r="Z10" i="4"/>
  <c r="L10" i="5" s="1"/>
  <c r="Z11" i="4"/>
  <c r="L11" i="5" s="1"/>
  <c r="Z12" i="4"/>
  <c r="L12" i="5" s="1"/>
  <c r="Z13" i="4"/>
  <c r="L13" i="5" s="1"/>
  <c r="Z14" i="4"/>
  <c r="L14" i="5" s="1"/>
  <c r="Z15" i="4"/>
  <c r="L15" i="5" s="1"/>
  <c r="Z16" i="4"/>
  <c r="L16" i="5" s="1"/>
  <c r="Z17" i="4"/>
  <c r="L17" i="5" s="1"/>
  <c r="Z18" i="4"/>
  <c r="L18" i="5" s="1"/>
  <c r="Z19" i="4"/>
  <c r="Z20" i="4"/>
  <c r="L20" i="5" s="1"/>
  <c r="Z21" i="4"/>
  <c r="L21" i="5" s="1"/>
  <c r="Z22" i="4"/>
  <c r="L22" i="5" s="1"/>
  <c r="Z23" i="4"/>
  <c r="L23" i="5" s="1"/>
  <c r="Z24" i="4"/>
  <c r="L24" i="5" s="1"/>
  <c r="Z25" i="4"/>
  <c r="L25" i="5" s="1"/>
  <c r="Z26" i="4"/>
  <c r="L26" i="5" s="1"/>
  <c r="Z27" i="4"/>
  <c r="L27" i="5" s="1"/>
  <c r="Z28" i="4"/>
  <c r="L28" i="5" s="1"/>
  <c r="Z29" i="4"/>
  <c r="L29" i="5" s="1"/>
  <c r="Z30" i="4"/>
  <c r="L30" i="5" s="1"/>
  <c r="Z31" i="4"/>
  <c r="Z32" i="4"/>
  <c r="L32" i="5" s="1"/>
  <c r="Z33" i="4"/>
  <c r="L33" i="5" s="1"/>
  <c r="Z34" i="4"/>
  <c r="L34" i="5" s="1"/>
  <c r="Z35" i="4"/>
  <c r="L35" i="5" s="1"/>
  <c r="Z36" i="4"/>
  <c r="L36" i="5" s="1"/>
  <c r="Z37" i="4"/>
  <c r="L37" i="5" s="1"/>
  <c r="Z38" i="4"/>
  <c r="L38" i="5" s="1"/>
  <c r="Z39" i="4"/>
  <c r="L39" i="5" s="1"/>
  <c r="Z40" i="4"/>
  <c r="L40" i="5" s="1"/>
  <c r="Z41" i="4"/>
  <c r="L41" i="5" s="1"/>
  <c r="Z42" i="4"/>
  <c r="L42" i="5" s="1"/>
  <c r="Z43" i="4"/>
  <c r="Z44" i="4"/>
  <c r="L44" i="5" s="1"/>
  <c r="Z45" i="4"/>
  <c r="L45" i="5" s="1"/>
  <c r="Z46" i="4"/>
  <c r="L46" i="5" s="1"/>
  <c r="Z47" i="4"/>
  <c r="L47" i="5" s="1"/>
  <c r="Z48" i="4"/>
  <c r="L48" i="5" s="1"/>
  <c r="Z49" i="4"/>
  <c r="L49" i="5" s="1"/>
  <c r="Z50" i="4"/>
  <c r="L50" i="5" s="1"/>
  <c r="Z51" i="4"/>
  <c r="L51" i="5" s="1"/>
  <c r="Z52" i="4"/>
  <c r="L52" i="5" s="1"/>
  <c r="AF4" i="4"/>
  <c r="I4" i="5" s="1"/>
  <c r="AF5" i="4"/>
  <c r="I5" i="5" s="1"/>
  <c r="AF6" i="4"/>
  <c r="I6" i="5" s="1"/>
  <c r="AF7" i="4"/>
  <c r="I7" i="5" s="1"/>
  <c r="AF8" i="4"/>
  <c r="I8" i="5" s="1"/>
  <c r="AF9" i="4"/>
  <c r="AF10" i="4"/>
  <c r="I10" i="5" s="1"/>
  <c r="AF11" i="4"/>
  <c r="I11" i="5" s="1"/>
  <c r="AF12" i="4"/>
  <c r="I12" i="5" s="1"/>
  <c r="AF13" i="4"/>
  <c r="I13" i="5" s="1"/>
  <c r="AF14" i="4"/>
  <c r="I14" i="5" s="1"/>
  <c r="AF15" i="4"/>
  <c r="I15" i="5" s="1"/>
  <c r="AF16" i="4"/>
  <c r="I16" i="5" s="1"/>
  <c r="AF17" i="4"/>
  <c r="I17" i="5" s="1"/>
  <c r="AF18" i="4"/>
  <c r="I18" i="5" s="1"/>
  <c r="AF19" i="4"/>
  <c r="I19" i="5" s="1"/>
  <c r="AF20" i="4"/>
  <c r="I20" i="5" s="1"/>
  <c r="AF21" i="4"/>
  <c r="AF22" i="4"/>
  <c r="I22" i="5" s="1"/>
  <c r="AF23" i="4"/>
  <c r="I23" i="5" s="1"/>
  <c r="AF24" i="4"/>
  <c r="AF25" i="4"/>
  <c r="I25" i="5" s="1"/>
  <c r="AF26" i="4"/>
  <c r="I26" i="5" s="1"/>
  <c r="AF27" i="4"/>
  <c r="I27" i="5" s="1"/>
  <c r="AF28" i="4"/>
  <c r="I28" i="5" s="1"/>
  <c r="AF29" i="4"/>
  <c r="I29" i="5" s="1"/>
  <c r="AF30" i="4"/>
  <c r="I30" i="5" s="1"/>
  <c r="AF31" i="4"/>
  <c r="I31" i="5" s="1"/>
  <c r="AF32" i="4"/>
  <c r="I32" i="5" s="1"/>
  <c r="AF33" i="4"/>
  <c r="AF34" i="4"/>
  <c r="I34" i="5" s="1"/>
  <c r="AF35" i="4"/>
  <c r="I35" i="5" s="1"/>
  <c r="AF36" i="4"/>
  <c r="AF37" i="4"/>
  <c r="I37" i="5" s="1"/>
  <c r="AF38" i="4"/>
  <c r="I38" i="5" s="1"/>
  <c r="AF39" i="4"/>
  <c r="I39" i="5" s="1"/>
  <c r="AF40" i="4"/>
  <c r="I40" i="5" s="1"/>
  <c r="AF41" i="4"/>
  <c r="I41" i="5" s="1"/>
  <c r="AF42" i="4"/>
  <c r="I42" i="5" s="1"/>
  <c r="AF43" i="4"/>
  <c r="I43" i="5" s="1"/>
  <c r="AF44" i="4"/>
  <c r="I44" i="5" s="1"/>
  <c r="AF45" i="4"/>
  <c r="AF46" i="4"/>
  <c r="I46" i="5" s="1"/>
  <c r="AF47" i="4"/>
  <c r="I47" i="5" s="1"/>
  <c r="AF48" i="4"/>
  <c r="AF49" i="4"/>
  <c r="I49" i="5" s="1"/>
  <c r="AF50" i="4"/>
  <c r="I50" i="5" s="1"/>
  <c r="AF51" i="4"/>
  <c r="I51" i="5" s="1"/>
  <c r="AF52" i="4"/>
  <c r="I52" i="5" s="1"/>
  <c r="AL4" i="4"/>
  <c r="M4" i="5" s="1"/>
  <c r="AL5" i="4"/>
  <c r="M5" i="5" s="1"/>
  <c r="AL6" i="4"/>
  <c r="M6" i="5" s="1"/>
  <c r="AL7" i="4"/>
  <c r="M7" i="5" s="1"/>
  <c r="AL8" i="4"/>
  <c r="M8" i="5" s="1"/>
  <c r="AL9" i="4"/>
  <c r="M9" i="5" s="1"/>
  <c r="AL10" i="4"/>
  <c r="M10" i="5" s="1"/>
  <c r="AL11" i="4"/>
  <c r="M11" i="5" s="1"/>
  <c r="AL12" i="4"/>
  <c r="M12" i="5" s="1"/>
  <c r="AL13" i="4"/>
  <c r="M13" i="5" s="1"/>
  <c r="AL14" i="4"/>
  <c r="M14" i="5" s="1"/>
  <c r="AL15" i="4"/>
  <c r="M15" i="5" s="1"/>
  <c r="AL16" i="4"/>
  <c r="AL17" i="4"/>
  <c r="M17" i="5" s="1"/>
  <c r="AL18" i="4"/>
  <c r="M18" i="5" s="1"/>
  <c r="AL19" i="4"/>
  <c r="M19" i="5" s="1"/>
  <c r="AL20" i="4"/>
  <c r="M20" i="5" s="1"/>
  <c r="AL21" i="4"/>
  <c r="M21" i="5" s="1"/>
  <c r="AL22" i="4"/>
  <c r="M22" i="5" s="1"/>
  <c r="AL23" i="4"/>
  <c r="M23" i="5" s="1"/>
  <c r="AL24" i="4"/>
  <c r="M24" i="5" s="1"/>
  <c r="AL25" i="4"/>
  <c r="M25" i="5" s="1"/>
  <c r="AL26" i="4"/>
  <c r="M26" i="5" s="1"/>
  <c r="AL27" i="4"/>
  <c r="M27" i="5" s="1"/>
  <c r="AL28" i="4"/>
  <c r="AL29" i="4"/>
  <c r="M29" i="5" s="1"/>
  <c r="AL30" i="4"/>
  <c r="M30" i="5" s="1"/>
  <c r="AL31" i="4"/>
  <c r="M31" i="5" s="1"/>
  <c r="AL32" i="4"/>
  <c r="M32" i="5" s="1"/>
  <c r="AL33" i="4"/>
  <c r="M33" i="5" s="1"/>
  <c r="AL34" i="4"/>
  <c r="M34" i="5" s="1"/>
  <c r="AL35" i="4"/>
  <c r="M35" i="5" s="1"/>
  <c r="AL36" i="4"/>
  <c r="M36" i="5" s="1"/>
  <c r="AL37" i="4"/>
  <c r="M37" i="5" s="1"/>
  <c r="AL38" i="4"/>
  <c r="M38" i="5" s="1"/>
  <c r="AL39" i="4"/>
  <c r="M39" i="5" s="1"/>
  <c r="AL40" i="4"/>
  <c r="AL41" i="4"/>
  <c r="M41" i="5" s="1"/>
  <c r="AL42" i="4"/>
  <c r="M42" i="5" s="1"/>
  <c r="AL43" i="4"/>
  <c r="M43" i="5" s="1"/>
  <c r="AL44" i="4"/>
  <c r="M44" i="5" s="1"/>
  <c r="AL45" i="4"/>
  <c r="M45" i="5" s="1"/>
  <c r="AL46" i="4"/>
  <c r="M46" i="5" s="1"/>
  <c r="AL47" i="4"/>
  <c r="M47" i="5" s="1"/>
  <c r="AL48" i="4"/>
  <c r="M48" i="5" s="1"/>
  <c r="AL49" i="4"/>
  <c r="M49" i="5" s="1"/>
  <c r="AL50" i="4"/>
  <c r="M50" i="5" s="1"/>
  <c r="AL51" i="4"/>
  <c r="M51" i="5" s="1"/>
  <c r="AL52" i="4"/>
  <c r="AL3" i="4"/>
  <c r="M3" i="5" s="1"/>
  <c r="AF3" i="4"/>
  <c r="I3" i="5" s="1"/>
  <c r="Z3" i="4"/>
  <c r="L3" i="5" s="1"/>
  <c r="T3" i="4"/>
  <c r="H3" i="5" s="1"/>
  <c r="N3" i="4"/>
  <c r="G3" i="5" s="1"/>
  <c r="H4" i="4"/>
  <c r="F4" i="5" s="1"/>
  <c r="H5" i="4"/>
  <c r="F5" i="5" s="1"/>
  <c r="H6" i="4"/>
  <c r="F6" i="5" s="1"/>
  <c r="H7" i="4"/>
  <c r="F7" i="5" s="1"/>
  <c r="H8" i="4"/>
  <c r="F8" i="5" s="1"/>
  <c r="H9" i="4"/>
  <c r="F9" i="5" s="1"/>
  <c r="H10" i="4"/>
  <c r="H11" i="4"/>
  <c r="F11" i="5" s="1"/>
  <c r="H12" i="4"/>
  <c r="F12" i="5" s="1"/>
  <c r="H13" i="4"/>
  <c r="F13" i="5" s="1"/>
  <c r="H14" i="4"/>
  <c r="F14" i="5" s="1"/>
  <c r="H15" i="4"/>
  <c r="F15" i="5" s="1"/>
  <c r="H16" i="4"/>
  <c r="F16" i="5" s="1"/>
  <c r="H17" i="4"/>
  <c r="F17" i="5" s="1"/>
  <c r="H18" i="4"/>
  <c r="F18" i="5" s="1"/>
  <c r="H19" i="4"/>
  <c r="F19" i="5" s="1"/>
  <c r="H20" i="4"/>
  <c r="F20" i="5" s="1"/>
  <c r="H21" i="4"/>
  <c r="F21" i="5" s="1"/>
  <c r="H22" i="4"/>
  <c r="H23" i="4"/>
  <c r="F23" i="5" s="1"/>
  <c r="H24" i="4"/>
  <c r="F24" i="5" s="1"/>
  <c r="H25" i="4"/>
  <c r="F25" i="5" s="1"/>
  <c r="H26" i="4"/>
  <c r="F26" i="5" s="1"/>
  <c r="H27" i="4"/>
  <c r="F27" i="5" s="1"/>
  <c r="H28" i="4"/>
  <c r="F28" i="5" s="1"/>
  <c r="H29" i="4"/>
  <c r="F29" i="5" s="1"/>
  <c r="H30" i="4"/>
  <c r="F30" i="5" s="1"/>
  <c r="H31" i="4"/>
  <c r="F31" i="5" s="1"/>
  <c r="H32" i="4"/>
  <c r="F32" i="5" s="1"/>
  <c r="H33" i="4"/>
  <c r="H34" i="4"/>
  <c r="H35" i="4"/>
  <c r="F35" i="5" s="1"/>
  <c r="H36" i="4"/>
  <c r="F36" i="5" s="1"/>
  <c r="H37" i="4"/>
  <c r="F37" i="5" s="1"/>
  <c r="H38" i="4"/>
  <c r="F38" i="5" s="1"/>
  <c r="H39" i="4"/>
  <c r="F39" i="5" s="1"/>
  <c r="H40" i="4"/>
  <c r="F40" i="5" s="1"/>
  <c r="H41" i="4"/>
  <c r="F41" i="5" s="1"/>
  <c r="H42" i="4"/>
  <c r="F42" i="5" s="1"/>
  <c r="H43" i="4"/>
  <c r="F43" i="5" s="1"/>
  <c r="H44" i="4"/>
  <c r="F44" i="5" s="1"/>
  <c r="H45" i="4"/>
  <c r="F45" i="5" s="1"/>
  <c r="H46" i="4"/>
  <c r="H47" i="4"/>
  <c r="F47" i="5" s="1"/>
  <c r="H48" i="4"/>
  <c r="F48" i="5" s="1"/>
  <c r="H49" i="4"/>
  <c r="F49" i="5" s="1"/>
  <c r="H50" i="4"/>
  <c r="F50" i="5" s="1"/>
  <c r="H51" i="4"/>
  <c r="F51" i="5" s="1"/>
  <c r="H52" i="4"/>
  <c r="F52" i="5" s="1"/>
  <c r="H3" i="4"/>
  <c r="F3" i="5" s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M33" i="4" l="1"/>
  <c r="AM37" i="4"/>
  <c r="G37" i="5"/>
  <c r="AM4" i="4"/>
  <c r="AM13" i="4"/>
  <c r="AM52" i="4"/>
  <c r="F33" i="5"/>
  <c r="AM46" i="4"/>
  <c r="AM22" i="4"/>
  <c r="AM30" i="4"/>
  <c r="AM14" i="4"/>
  <c r="AM44" i="4"/>
  <c r="AM36" i="4"/>
  <c r="AM28" i="4"/>
  <c r="AM20" i="4"/>
  <c r="AM38" i="4"/>
  <c r="AM12" i="4"/>
  <c r="AM16" i="4"/>
  <c r="AM6" i="4"/>
  <c r="AM40" i="4"/>
  <c r="AM48" i="4"/>
  <c r="AM32" i="4"/>
  <c r="AM24" i="4"/>
  <c r="AM8" i="4"/>
  <c r="AM34" i="4"/>
  <c r="AM49" i="4"/>
  <c r="AM41" i="4"/>
  <c r="AM25" i="4"/>
  <c r="AM17" i="4"/>
  <c r="AM9" i="4"/>
  <c r="AM43" i="4"/>
  <c r="AM27" i="4"/>
  <c r="AM11" i="4"/>
  <c r="AM50" i="4"/>
  <c r="AM26" i="4"/>
  <c r="AM10" i="4"/>
  <c r="AM47" i="4"/>
  <c r="AM39" i="4"/>
  <c r="AM31" i="4"/>
  <c r="AM23" i="4"/>
  <c r="AM15" i="4"/>
  <c r="AM7" i="4"/>
  <c r="AM51" i="4"/>
  <c r="AM35" i="4"/>
  <c r="AM19" i="4"/>
  <c r="AM42" i="4"/>
  <c r="AM18" i="4"/>
  <c r="AM45" i="4"/>
  <c r="AM29" i="4"/>
  <c r="AM21" i="4"/>
  <c r="AM5" i="4"/>
  <c r="AM3" i="4"/>
</calcChain>
</file>

<file path=xl/sharedStrings.xml><?xml version="1.0" encoding="utf-8"?>
<sst xmlns="http://schemas.openxmlformats.org/spreadsheetml/2006/main" count="563" uniqueCount="216">
  <si>
    <t>No</t>
  </si>
  <si>
    <t>Name</t>
  </si>
  <si>
    <t>Safety</t>
  </si>
  <si>
    <t>Accessibility</t>
  </si>
  <si>
    <t>Time window</t>
  </si>
  <si>
    <t>Entrance fee</t>
  </si>
  <si>
    <t>Stay duration</t>
  </si>
  <si>
    <t>Walking distance</t>
  </si>
  <si>
    <t>Google Satisfaction score</t>
  </si>
  <si>
    <t>Trip.com Satisfaction score</t>
  </si>
  <si>
    <t>Wongnai Satisfaction score</t>
  </si>
  <si>
    <t>Latitude</t>
  </si>
  <si>
    <t>Longitude</t>
  </si>
  <si>
    <t>Wat Phra That Doi Suthep</t>
  </si>
  <si>
    <t>06:00-20:00</t>
  </si>
  <si>
    <t>1.5 hr</t>
  </si>
  <si>
    <t>500 m</t>
  </si>
  <si>
    <t>Wat Chedi Luang</t>
  </si>
  <si>
    <t>05:00-22:00</t>
  </si>
  <si>
    <t>1 hr</t>
  </si>
  <si>
    <t>300 m</t>
  </si>
  <si>
    <t>Wat Phra Singh</t>
  </si>
  <si>
    <t>05:30-19:30</t>
  </si>
  <si>
    <t>250 m</t>
  </si>
  <si>
    <t>Wat Umong</t>
  </si>
  <si>
    <t>05:00-20:00</t>
  </si>
  <si>
    <t>400 m</t>
  </si>
  <si>
    <t>Wat Chiang Man</t>
  </si>
  <si>
    <t>06:00-18:00</t>
  </si>
  <si>
    <t>Wat Suan Dok</t>
  </si>
  <si>
    <t>350 m</t>
  </si>
  <si>
    <t>Wat Lok Moli</t>
  </si>
  <si>
    <t>08:00-17:30</t>
  </si>
  <si>
    <t>45 min</t>
  </si>
  <si>
    <t>Wat Sri Suphan (Silver Temple)</t>
  </si>
  <si>
    <t>Wat Buppharam</t>
  </si>
  <si>
    <t>08:00-18:00</t>
  </si>
  <si>
    <t>Wat Ket Karam</t>
  </si>
  <si>
    <t>Chiang Mai City Arts &amp; Cultural Centre</t>
  </si>
  <si>
    <t>08:30-16:30</t>
  </si>
  <si>
    <t>Lanna Folklife Museum</t>
  </si>
  <si>
    <t>Chiang Mai National Museum</t>
  </si>
  <si>
    <t>09:00-16:00</t>
  </si>
  <si>
    <t>200 m</t>
  </si>
  <si>
    <t>Highland People Discovery Museum</t>
  </si>
  <si>
    <t>08:30-16:00</t>
  </si>
  <si>
    <t>MAIIAM Contemporary Art Museum</t>
  </si>
  <si>
    <t>10:00-18:00</t>
  </si>
  <si>
    <t>Art in Paradise 3D Museum</t>
  </si>
  <si>
    <t>09:00-21:00</t>
  </si>
  <si>
    <t>2 hr</t>
  </si>
  <si>
    <t>Chiang Mai Historical Centre</t>
  </si>
  <si>
    <t>08:30-17:00</t>
  </si>
  <si>
    <t>Museum of World Insects and Natural Wonders</t>
  </si>
  <si>
    <t>10:00-15:00</t>
  </si>
  <si>
    <t>150 m</t>
  </si>
  <si>
    <t>Dara Pirom Palace Museum</t>
  </si>
  <si>
    <t>09:00-17:00</t>
  </si>
  <si>
    <t>Tribal Museum (Highland People Discovery)</t>
  </si>
  <si>
    <t>Elephant Nature Park</t>
  </si>
  <si>
    <t>08:00-17:00</t>
  </si>
  <si>
    <t>5 hr</t>
  </si>
  <si>
    <t>2.0 km</t>
  </si>
  <si>
    <t>Chiang Mai Zoo</t>
  </si>
  <si>
    <t>3 hr</t>
  </si>
  <si>
    <t>1.5 km</t>
  </si>
  <si>
    <t>Chiang Mai Night Safari</t>
  </si>
  <si>
    <t>11:00-22:00</t>
  </si>
  <si>
    <t>2.5 hr</t>
  </si>
  <si>
    <t>1.2 km</t>
  </si>
  <si>
    <t>Tiger Kingdom Chiang Mai</t>
  </si>
  <si>
    <t>0.5 km</t>
  </si>
  <si>
    <t>Baan Chang Elephant Park</t>
  </si>
  <si>
    <t>07:00-17:00</t>
  </si>
  <si>
    <t>Patara Elephant Farm</t>
  </si>
  <si>
    <t>6 hr</t>
  </si>
  <si>
    <t>2.5 km</t>
  </si>
  <si>
    <t>Doi Inthanon National Park</t>
  </si>
  <si>
    <t>4 hr</t>
  </si>
  <si>
    <t>3.0 km</t>
  </si>
  <si>
    <t>Queen Sirikit Botanical Garden</t>
  </si>
  <si>
    <t>Tweechol Botanic Garden</t>
  </si>
  <si>
    <t>1.0 km</t>
  </si>
  <si>
    <t>Mon Cham</t>
  </si>
  <si>
    <t>00:00-24:00</t>
  </si>
  <si>
    <t>Warorot Market (Kad Luang)</t>
  </si>
  <si>
    <t>05:00-18:00</t>
  </si>
  <si>
    <t>Sunday Night Market (Walking Street)</t>
  </si>
  <si>
    <t>17:00-22:30</t>
  </si>
  <si>
    <t>Saturday Night Market (Wua Lai Road)</t>
  </si>
  <si>
    <t>18:00-23:00</t>
  </si>
  <si>
    <t>Chiang Mai Gate Market</t>
  </si>
  <si>
    <t>04:00-24:00</t>
  </si>
  <si>
    <t>Ton Lamyai Flower Market</t>
  </si>
  <si>
    <t>05:00-17:00</t>
  </si>
  <si>
    <t>Baan Tawai Handicraft Village</t>
  </si>
  <si>
    <t>700 m</t>
  </si>
  <si>
    <t>Bo Sang Umbrella Village</t>
  </si>
  <si>
    <t>San Kamphaeng Silk Village</t>
  </si>
  <si>
    <t>8:30-17:30</t>
  </si>
  <si>
    <t>800 m</t>
  </si>
  <si>
    <t>One Nimman</t>
  </si>
  <si>
    <t>11:00-21:00</t>
  </si>
  <si>
    <t>Jing Jai Market (JJ Market)</t>
  </si>
  <si>
    <t>06:00-22:00 (Sat-Sun)</t>
  </si>
  <si>
    <t>600 m</t>
  </si>
  <si>
    <t>Royal Park Rajapruek</t>
  </si>
  <si>
    <t>Huay Tung Tao Lake</t>
  </si>
  <si>
    <t>06:30-18:00</t>
  </si>
  <si>
    <t>Doi Suthep-Pui National Park</t>
  </si>
  <si>
    <t>06:00-19:00</t>
  </si>
  <si>
    <t>Ob Khan National Park</t>
  </si>
  <si>
    <t>8:30-17:00</t>
  </si>
  <si>
    <t>Ang Ka Nature Trail (Doi Inthanon)</t>
  </si>
  <si>
    <t>06:00-16:30</t>
  </si>
  <si>
    <t>Bhubing Palace Gardens</t>
  </si>
  <si>
    <t>08:30-15:30</t>
  </si>
  <si>
    <t>Huay Kaew Waterfall</t>
  </si>
  <si>
    <t>0.8 km</t>
  </si>
  <si>
    <t>Sticky Waterfall (Bua Thong)</t>
  </si>
  <si>
    <t>Mae Sa Waterfall</t>
  </si>
  <si>
    <t>08:00-16:30</t>
  </si>
  <si>
    <t>Mae Kampong Village</t>
  </si>
  <si>
    <t>Criteria</t>
  </si>
  <si>
    <t>Sub-criteria</t>
  </si>
  <si>
    <t>Does It
Currently
Exist?
(Yes/No)</t>
  </si>
  <si>
    <t>Traffic Safety</t>
  </si>
  <si>
    <t>Crime Prevention (Presence of police, CCTV)</t>
  </si>
  <si>
    <t>Tourist Scam Prevention (scams, pickpocketing, overcharging, or misleading information)</t>
  </si>
  <si>
    <t>Emergency Accessibility (Access to hospitals within 8–10 minutes &lt;WHO Health Systems Guidelines&gt;)</t>
  </si>
  <si>
    <t>Environmental Safety (Low exposure to air pollution, flooding, or extreme weather conditions)</t>
  </si>
  <si>
    <t>Comfort Level</t>
  </si>
  <si>
    <t>Availability of Seating</t>
  </si>
  <si>
    <t>Shade and Weather Shelter (Access to shaded walkways, trees, or rain shelters in hot or wet weather)</t>
  </si>
  <si>
    <t>Low-noise environments with limited overcrowding</t>
  </si>
  <si>
    <t>Cleanliness and Maintenance</t>
  </si>
  <si>
    <t>Visual Comfort (Clear signage, readable fonts, multilingual information, and calming visual design)</t>
  </si>
  <si>
    <t>Barrier-Free Pathways (Availability of smooth, wide walkways with ramps, tactile paving, and curb cuts)</t>
  </si>
  <si>
    <t>Step-Free Access to Sites (ramps/elevators)</t>
  </si>
  <si>
    <t>Toilet Accessibility (Availability of clean, accessible toilets that are elderly-friendly)</t>
  </si>
  <si>
    <t>Accessible Public Transport (buses or shuttles with low floors, handrails, and priority seating)</t>
  </si>
  <si>
    <t>Support for Wheelchair Users (wheelchair rentals, staff assistance)</t>
  </si>
  <si>
    <t>Distance Between Stops (Distances between activity locations should be manageable for limited mobility)</t>
  </si>
  <si>
    <t>Availability of Rest Areas (Presence of shaded benches or resting spots every 250–400 meters)</t>
  </si>
  <si>
    <t>Route Slope &amp; Gradient (Inclines along walking paths should be gentle, ideally &lt;5% gradient)</t>
  </si>
  <si>
    <t>Shaded Walking Paths (Protection from heat or sun exposure with trees, roofs, or covered walkways)</t>
  </si>
  <si>
    <t>Surface Condition (Presence of non-slip flooring materials and level walkways)</t>
  </si>
  <si>
    <t>Heritage Designation (officially recognized by e.g., UNESCO, national or local heritage site)</t>
  </si>
  <si>
    <t>Community and Cultural Engagement (local markets, artisans, traditional music, crafts, rituals, or storytelling)</t>
  </si>
  <si>
    <t>Hands-on Workshops (e.g., crafts)</t>
  </si>
  <si>
    <t>Elderly-friendly Activities</t>
  </si>
  <si>
    <t>Educational Value (interpretation signage, guided tours, or audio guides)</t>
  </si>
  <si>
    <t>Photo Spots Availability (Presence of designated scenic spots)</t>
  </si>
  <si>
    <t>Visual Aesthetic Quality (Green spaces, gardens, historic architecture, natural views)</t>
  </si>
  <si>
    <t>Landscape Diversity (mountain, river, rice fields, old city)</t>
  </si>
  <si>
    <t>Cultural Aesthetic Elements (Traditional art, temples, local decor enhancing cultural feel)</t>
  </si>
  <si>
    <t>Weight</t>
  </si>
  <si>
    <t>Sunrise/Sunset Viewing Spots</t>
  </si>
  <si>
    <t>S1</t>
  </si>
  <si>
    <t>S2</t>
  </si>
  <si>
    <t>S3</t>
  </si>
  <si>
    <t>S4</t>
  </si>
  <si>
    <t>S5</t>
  </si>
  <si>
    <t>C1</t>
  </si>
  <si>
    <t>C2</t>
  </si>
  <si>
    <t>C3</t>
  </si>
  <si>
    <t>C4</t>
  </si>
  <si>
    <t>C5</t>
  </si>
  <si>
    <t>A1</t>
  </si>
  <si>
    <t>A2</t>
  </si>
  <si>
    <t>A3</t>
  </si>
  <si>
    <t>A4</t>
  </si>
  <si>
    <t>A5</t>
  </si>
  <si>
    <t>Walking Distance</t>
  </si>
  <si>
    <t>W1</t>
  </si>
  <si>
    <t>W2</t>
  </si>
  <si>
    <t>W3</t>
  </si>
  <si>
    <t>W4</t>
  </si>
  <si>
    <t>W5</t>
  </si>
  <si>
    <t>Heritage &amp; Cultural Value</t>
  </si>
  <si>
    <t>H1</t>
  </si>
  <si>
    <t>H2</t>
  </si>
  <si>
    <t>H3</t>
  </si>
  <si>
    <t>H4</t>
  </si>
  <si>
    <t>H5</t>
  </si>
  <si>
    <t>Scenery &amp; Aesthetic</t>
  </si>
  <si>
    <t>SC1</t>
  </si>
  <si>
    <t>SC2</t>
  </si>
  <si>
    <t>SC3</t>
  </si>
  <si>
    <t>SC4</t>
  </si>
  <si>
    <t>SC5</t>
  </si>
  <si>
    <t>No.</t>
  </si>
  <si>
    <t>Total</t>
  </si>
  <si>
    <t>Locations</t>
  </si>
  <si>
    <t>S</t>
  </si>
  <si>
    <t>TW_min</t>
  </si>
  <si>
    <t>TW_max</t>
  </si>
  <si>
    <t>R</t>
  </si>
  <si>
    <t>Comf</t>
  </si>
  <si>
    <t>Acess</t>
  </si>
  <si>
    <t>Culture</t>
  </si>
  <si>
    <t>Walking</t>
  </si>
  <si>
    <t>Fee</t>
  </si>
  <si>
    <t>Stay</t>
  </si>
  <si>
    <t>duration</t>
  </si>
  <si>
    <t>hr</t>
  </si>
  <si>
    <t>min</t>
  </si>
  <si>
    <t>distance</t>
  </si>
  <si>
    <t>m</t>
  </si>
  <si>
    <t>km</t>
  </si>
  <si>
    <t>Pathway</t>
  </si>
  <si>
    <t>Scen</t>
  </si>
  <si>
    <t xml:space="preserve">Real </t>
  </si>
  <si>
    <t>Use</t>
  </si>
  <si>
    <t>Row Labels</t>
  </si>
  <si>
    <t xml:space="preserve">Pathway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</si>
</sst>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right" vertical="center"/>
    </xf>
    <xf numFmtId="0" fontId="0" fillId="0" borderId="1" xfId="0" applyBorder="1"/>
    <xf numFmtId="0" fontId="0" fillId="8" borderId="1" xfId="0" applyFill="1" applyBorder="1"/>
    <xf numFmtId="2" fontId="0" fillId="0" borderId="1" xfId="0" applyNumberFormat="1" applyBorder="1"/>
    <xf numFmtId="2" fontId="1" fillId="0" borderId="1" xfId="0" applyNumberFormat="1" applyFont="1" applyBorder="1" applyAlignment="1">
      <alignment horizontal="right" vertical="center"/>
    </xf>
    <xf numFmtId="0" fontId="4" fillId="0" borderId="0" xfId="0" applyFont="1"/>
    <xf numFmtId="164" fontId="3" fillId="0" borderId="0" xfId="0" applyNumberFormat="1" applyFont="1"/>
    <xf numFmtId="164" fontId="0" fillId="0" borderId="0" xfId="0" applyNumberFormat="1"/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66A5-D57F-C342-A7E1-508C7C157FD1}">
  <dimension ref="A1:AP52"/>
  <sheetViews>
    <sheetView zoomScale="120" zoomScaleNormal="120" workbookViewId="0">
      <pane xSplit="2" ySplit="2" topLeftCell="L27" activePane="bottomRight" state="frozen"/>
      <selection pane="topRight" activeCell="C1" sqref="C1"/>
      <selection pane="bottomLeft" activeCell="A2" sqref="A2"/>
      <selection pane="bottomRight" activeCell="A41" sqref="A41:XFD41"/>
    </sheetView>
  </sheetViews>
  <sheetFormatPr defaultColWidth="11.5546875" defaultRowHeight="15"/>
  <cols>
    <col min="1" max="1" width="4.33203125" customWidth="1"/>
    <col min="2" max="2" width="37.109375" customWidth="1"/>
    <col min="3" max="33" width="4.6640625" customWidth="1"/>
  </cols>
  <sheetData>
    <row r="1" spans="1:42" ht="23.1" customHeight="1">
      <c r="A1" s="42" t="s">
        <v>191</v>
      </c>
      <c r="B1" s="40" t="s">
        <v>1</v>
      </c>
      <c r="C1" s="44" t="s">
        <v>2</v>
      </c>
      <c r="D1" s="45"/>
      <c r="E1" s="45"/>
      <c r="F1" s="45"/>
      <c r="G1" s="46"/>
      <c r="H1" s="47" t="s">
        <v>131</v>
      </c>
      <c r="I1" s="47"/>
      <c r="J1" s="47"/>
      <c r="K1" s="47"/>
      <c r="L1" s="47"/>
      <c r="M1" s="44" t="s">
        <v>3</v>
      </c>
      <c r="N1" s="45"/>
      <c r="O1" s="45"/>
      <c r="P1" s="45"/>
      <c r="Q1" s="46"/>
      <c r="R1" s="47" t="s">
        <v>173</v>
      </c>
      <c r="S1" s="47"/>
      <c r="T1" s="47"/>
      <c r="U1" s="47"/>
      <c r="V1" s="47"/>
      <c r="W1" s="44" t="s">
        <v>179</v>
      </c>
      <c r="X1" s="45"/>
      <c r="Y1" s="45"/>
      <c r="Z1" s="45"/>
      <c r="AA1" s="46"/>
      <c r="AB1" s="47" t="s">
        <v>185</v>
      </c>
      <c r="AC1" s="47"/>
      <c r="AD1" s="47"/>
      <c r="AE1" s="47"/>
      <c r="AF1" s="47"/>
      <c r="AG1" s="48" t="s">
        <v>192</v>
      </c>
      <c r="AH1" s="36" t="s">
        <v>4</v>
      </c>
      <c r="AI1" s="36" t="s">
        <v>5</v>
      </c>
      <c r="AJ1" s="36" t="s">
        <v>6</v>
      </c>
      <c r="AK1" s="36" t="s">
        <v>7</v>
      </c>
      <c r="AL1" s="36" t="s">
        <v>8</v>
      </c>
      <c r="AM1" s="36" t="s">
        <v>9</v>
      </c>
      <c r="AN1" s="36" t="s">
        <v>10</v>
      </c>
      <c r="AO1" s="36" t="s">
        <v>11</v>
      </c>
      <c r="AP1" s="38" t="s">
        <v>12</v>
      </c>
    </row>
    <row r="2" spans="1:42" ht="23.1" customHeight="1">
      <c r="A2" s="43" t="s">
        <v>0</v>
      </c>
      <c r="B2" s="41"/>
      <c r="C2" s="8" t="s">
        <v>158</v>
      </c>
      <c r="D2" s="9" t="s">
        <v>159</v>
      </c>
      <c r="E2" s="9" t="s">
        <v>160</v>
      </c>
      <c r="F2" s="9" t="s">
        <v>161</v>
      </c>
      <c r="G2" s="10" t="s">
        <v>162</v>
      </c>
      <c r="H2" s="17" t="s">
        <v>163</v>
      </c>
      <c r="I2" s="17" t="s">
        <v>164</v>
      </c>
      <c r="J2" s="17" t="s">
        <v>165</v>
      </c>
      <c r="K2" s="17" t="s">
        <v>166</v>
      </c>
      <c r="L2" s="17" t="s">
        <v>167</v>
      </c>
      <c r="M2" s="8" t="s">
        <v>168</v>
      </c>
      <c r="N2" s="9" t="s">
        <v>169</v>
      </c>
      <c r="O2" s="9" t="s">
        <v>170</v>
      </c>
      <c r="P2" s="9" t="s">
        <v>171</v>
      </c>
      <c r="Q2" s="10" t="s">
        <v>172</v>
      </c>
      <c r="R2" s="17" t="s">
        <v>174</v>
      </c>
      <c r="S2" s="17" t="s">
        <v>175</v>
      </c>
      <c r="T2" s="17" t="s">
        <v>176</v>
      </c>
      <c r="U2" s="17" t="s">
        <v>177</v>
      </c>
      <c r="V2" s="17" t="s">
        <v>178</v>
      </c>
      <c r="W2" s="8" t="s">
        <v>180</v>
      </c>
      <c r="X2" s="9" t="s">
        <v>181</v>
      </c>
      <c r="Y2" s="9" t="s">
        <v>182</v>
      </c>
      <c r="Z2" s="9" t="s">
        <v>183</v>
      </c>
      <c r="AA2" s="10" t="s">
        <v>184</v>
      </c>
      <c r="AB2" s="17" t="s">
        <v>186</v>
      </c>
      <c r="AC2" s="17" t="s">
        <v>187</v>
      </c>
      <c r="AD2" s="17" t="s">
        <v>188</v>
      </c>
      <c r="AE2" s="17" t="s">
        <v>189</v>
      </c>
      <c r="AF2" s="17" t="s">
        <v>190</v>
      </c>
      <c r="AG2" s="49"/>
      <c r="AH2" s="37"/>
      <c r="AI2" s="37"/>
      <c r="AJ2" s="37"/>
      <c r="AK2" s="37"/>
      <c r="AL2" s="37"/>
      <c r="AM2" s="37"/>
      <c r="AN2" s="37"/>
      <c r="AO2" s="37"/>
      <c r="AP2" s="39"/>
    </row>
    <row r="3" spans="1:42" ht="15.75">
      <c r="A3" s="11">
        <v>1</v>
      </c>
      <c r="B3" s="19" t="s">
        <v>13</v>
      </c>
      <c r="C3" s="11">
        <v>0</v>
      </c>
      <c r="D3" s="1">
        <v>1</v>
      </c>
      <c r="E3" s="1">
        <v>1</v>
      </c>
      <c r="F3" s="1">
        <v>0</v>
      </c>
      <c r="G3" s="12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1">
        <v>0</v>
      </c>
      <c r="N3" s="1">
        <v>1</v>
      </c>
      <c r="O3" s="1">
        <v>1</v>
      </c>
      <c r="P3" s="1">
        <v>0</v>
      </c>
      <c r="Q3" s="12">
        <v>0</v>
      </c>
      <c r="R3" s="1">
        <v>0</v>
      </c>
      <c r="S3" s="1">
        <v>1</v>
      </c>
      <c r="T3" s="1">
        <v>0</v>
      </c>
      <c r="U3" s="1">
        <v>1</v>
      </c>
      <c r="V3" s="1">
        <v>1</v>
      </c>
      <c r="W3" s="11">
        <v>1</v>
      </c>
      <c r="X3" s="1">
        <v>1</v>
      </c>
      <c r="Y3" s="1">
        <v>0</v>
      </c>
      <c r="Z3" s="1">
        <v>0</v>
      </c>
      <c r="AA3" s="12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22">
        <f>SUM(C3:AF3)</f>
        <v>21</v>
      </c>
      <c r="AH3" s="19" t="s">
        <v>14</v>
      </c>
      <c r="AI3" s="1">
        <v>20</v>
      </c>
      <c r="AJ3" s="1" t="s">
        <v>15</v>
      </c>
      <c r="AK3" s="1" t="s">
        <v>16</v>
      </c>
      <c r="AL3" s="1">
        <v>4.7</v>
      </c>
      <c r="AM3" s="1">
        <v>4.7</v>
      </c>
      <c r="AN3" s="1">
        <v>4.5</v>
      </c>
      <c r="AO3" s="1">
        <v>18.805</v>
      </c>
      <c r="AP3" s="12">
        <v>98.921599999999998</v>
      </c>
    </row>
    <row r="4" spans="1:42" ht="15.75">
      <c r="A4" s="11">
        <v>2</v>
      </c>
      <c r="B4" s="19" t="s">
        <v>17</v>
      </c>
      <c r="C4" s="11">
        <v>1</v>
      </c>
      <c r="D4" s="1">
        <v>1</v>
      </c>
      <c r="E4" s="1">
        <v>1</v>
      </c>
      <c r="F4" s="1">
        <v>1</v>
      </c>
      <c r="G4" s="12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1">
        <v>1</v>
      </c>
      <c r="N4" s="1">
        <v>1</v>
      </c>
      <c r="O4" s="1">
        <v>1</v>
      </c>
      <c r="P4" s="1">
        <v>1</v>
      </c>
      <c r="Q4" s="12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1">
        <v>1</v>
      </c>
      <c r="X4" s="1">
        <v>1</v>
      </c>
      <c r="Y4" s="1">
        <v>0</v>
      </c>
      <c r="Z4" s="1">
        <v>1</v>
      </c>
      <c r="AA4" s="12">
        <v>1</v>
      </c>
      <c r="AB4" s="1">
        <v>1</v>
      </c>
      <c r="AC4" s="1">
        <v>1</v>
      </c>
      <c r="AD4" s="1">
        <v>0</v>
      </c>
      <c r="AE4" s="1">
        <v>0</v>
      </c>
      <c r="AF4" s="1">
        <v>1</v>
      </c>
      <c r="AG4" s="22">
        <f t="shared" ref="AG4:AG52" si="0">SUM(C4:AF4)</f>
        <v>27</v>
      </c>
      <c r="AH4" s="19" t="s">
        <v>18</v>
      </c>
      <c r="AI4" s="1">
        <v>0</v>
      </c>
      <c r="AJ4" s="1" t="s">
        <v>19</v>
      </c>
      <c r="AK4" s="1" t="s">
        <v>20</v>
      </c>
      <c r="AL4" s="1">
        <v>4.7</v>
      </c>
      <c r="AM4" s="1">
        <v>4.8</v>
      </c>
      <c r="AN4" s="1">
        <v>4.5</v>
      </c>
      <c r="AO4" s="1">
        <v>18.786999999999999</v>
      </c>
      <c r="AP4" s="12">
        <v>98.986599999999996</v>
      </c>
    </row>
    <row r="5" spans="1:42" ht="15.75">
      <c r="A5" s="11">
        <v>3</v>
      </c>
      <c r="B5" s="19" t="s">
        <v>21</v>
      </c>
      <c r="C5" s="11">
        <v>1</v>
      </c>
      <c r="D5" s="1">
        <v>1</v>
      </c>
      <c r="E5" s="1">
        <v>1</v>
      </c>
      <c r="F5" s="1">
        <v>1</v>
      </c>
      <c r="G5" s="12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1">
        <v>1</v>
      </c>
      <c r="N5" s="1">
        <v>1</v>
      </c>
      <c r="O5" s="1">
        <v>1</v>
      </c>
      <c r="P5" s="1">
        <v>1</v>
      </c>
      <c r="Q5" s="12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1">
        <v>1</v>
      </c>
      <c r="X5" s="1">
        <v>1</v>
      </c>
      <c r="Y5" s="1">
        <v>0</v>
      </c>
      <c r="Z5" s="1">
        <v>1</v>
      </c>
      <c r="AA5" s="12">
        <v>1</v>
      </c>
      <c r="AB5" s="1">
        <v>1</v>
      </c>
      <c r="AC5" s="1">
        <v>1</v>
      </c>
      <c r="AD5" s="1">
        <v>0</v>
      </c>
      <c r="AE5" s="1">
        <v>0</v>
      </c>
      <c r="AF5" s="1">
        <v>1</v>
      </c>
      <c r="AG5" s="22">
        <f t="shared" si="0"/>
        <v>27</v>
      </c>
      <c r="AH5" s="19" t="s">
        <v>22</v>
      </c>
      <c r="AI5" s="1">
        <v>0</v>
      </c>
      <c r="AJ5" s="1" t="s">
        <v>19</v>
      </c>
      <c r="AK5" s="1" t="s">
        <v>23</v>
      </c>
      <c r="AL5" s="1">
        <v>4.7</v>
      </c>
      <c r="AM5" s="1">
        <v>4.7</v>
      </c>
      <c r="AN5" s="1">
        <v>4.5999999999999996</v>
      </c>
      <c r="AO5" s="1">
        <v>18.788499999999999</v>
      </c>
      <c r="AP5" s="12">
        <v>98.981999999999999</v>
      </c>
    </row>
    <row r="6" spans="1:42" ht="15.75">
      <c r="A6" s="11">
        <v>4</v>
      </c>
      <c r="B6" s="19" t="s">
        <v>24</v>
      </c>
      <c r="C6" s="11">
        <v>1</v>
      </c>
      <c r="D6" s="1">
        <v>1</v>
      </c>
      <c r="E6" s="1">
        <v>1</v>
      </c>
      <c r="F6" s="1">
        <v>0</v>
      </c>
      <c r="G6" s="12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1">
        <v>0</v>
      </c>
      <c r="N6" s="1">
        <v>0</v>
      </c>
      <c r="O6" s="1">
        <v>1</v>
      </c>
      <c r="P6" s="1">
        <v>0</v>
      </c>
      <c r="Q6" s="12">
        <v>0</v>
      </c>
      <c r="R6" s="1">
        <v>1</v>
      </c>
      <c r="S6" s="1">
        <v>1</v>
      </c>
      <c r="T6" s="1">
        <v>0</v>
      </c>
      <c r="U6" s="1">
        <v>1</v>
      </c>
      <c r="V6" s="1">
        <v>0</v>
      </c>
      <c r="W6" s="11">
        <v>1</v>
      </c>
      <c r="X6" s="1">
        <v>1</v>
      </c>
      <c r="Y6" s="1">
        <v>0</v>
      </c>
      <c r="Z6" s="1">
        <v>1</v>
      </c>
      <c r="AA6" s="12">
        <v>1</v>
      </c>
      <c r="AB6" s="1">
        <v>1</v>
      </c>
      <c r="AC6" s="1">
        <v>1</v>
      </c>
      <c r="AD6" s="1">
        <v>1</v>
      </c>
      <c r="AE6" s="1">
        <v>0</v>
      </c>
      <c r="AF6" s="1">
        <v>1</v>
      </c>
      <c r="AG6" s="22">
        <f t="shared" si="0"/>
        <v>21</v>
      </c>
      <c r="AH6" s="19" t="s">
        <v>25</v>
      </c>
      <c r="AI6" s="1">
        <v>0</v>
      </c>
      <c r="AJ6" s="1" t="s">
        <v>19</v>
      </c>
      <c r="AK6" s="1" t="s">
        <v>26</v>
      </c>
      <c r="AL6" s="1">
        <v>4.5999999999999996</v>
      </c>
      <c r="AM6" s="1">
        <v>4.7</v>
      </c>
      <c r="AN6" s="1">
        <v>4.3</v>
      </c>
      <c r="AO6" s="1">
        <v>18.782699999999998</v>
      </c>
      <c r="AP6" s="12">
        <v>98.952100000000002</v>
      </c>
    </row>
    <row r="7" spans="1:42" ht="15.75">
      <c r="A7" s="11">
        <v>5</v>
      </c>
      <c r="B7" s="19" t="s">
        <v>27</v>
      </c>
      <c r="C7" s="11">
        <v>1</v>
      </c>
      <c r="D7" s="1">
        <v>1</v>
      </c>
      <c r="E7" s="1">
        <v>1</v>
      </c>
      <c r="F7" s="1">
        <v>1</v>
      </c>
      <c r="G7" s="12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1">
        <v>1</v>
      </c>
      <c r="N7" s="1">
        <v>1</v>
      </c>
      <c r="O7" s="1">
        <v>1</v>
      </c>
      <c r="P7" s="1">
        <v>1</v>
      </c>
      <c r="Q7" s="12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1">
        <v>1</v>
      </c>
      <c r="X7" s="1">
        <v>1</v>
      </c>
      <c r="Y7" s="1">
        <v>0</v>
      </c>
      <c r="Z7" s="1">
        <v>1</v>
      </c>
      <c r="AA7" s="12">
        <v>1</v>
      </c>
      <c r="AB7" s="1">
        <v>1</v>
      </c>
      <c r="AC7" s="1">
        <v>1</v>
      </c>
      <c r="AD7" s="1">
        <v>0</v>
      </c>
      <c r="AE7" s="1">
        <v>0</v>
      </c>
      <c r="AF7" s="1">
        <v>1</v>
      </c>
      <c r="AG7" s="22">
        <f t="shared" si="0"/>
        <v>27</v>
      </c>
      <c r="AH7" s="19" t="s">
        <v>28</v>
      </c>
      <c r="AI7" s="1">
        <v>0</v>
      </c>
      <c r="AJ7" s="1" t="s">
        <v>19</v>
      </c>
      <c r="AK7" s="1" t="s">
        <v>20</v>
      </c>
      <c r="AL7" s="1">
        <v>4.5999999999999996</v>
      </c>
      <c r="AM7" s="1">
        <v>4.5999999999999996</v>
      </c>
      <c r="AN7" s="1">
        <v>4.0999999999999996</v>
      </c>
      <c r="AO7" s="1">
        <v>18.793800000000001</v>
      </c>
      <c r="AP7" s="12">
        <v>98.9893</v>
      </c>
    </row>
    <row r="8" spans="1:42" ht="15.75">
      <c r="A8" s="11">
        <v>6</v>
      </c>
      <c r="B8" s="19" t="s">
        <v>29</v>
      </c>
      <c r="C8" s="11">
        <v>1</v>
      </c>
      <c r="D8" s="1">
        <v>1</v>
      </c>
      <c r="E8" s="1">
        <v>1</v>
      </c>
      <c r="F8" s="1">
        <v>1</v>
      </c>
      <c r="G8" s="12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1">
        <v>1</v>
      </c>
      <c r="N8" s="1">
        <v>1</v>
      </c>
      <c r="O8" s="1">
        <v>1</v>
      </c>
      <c r="P8" s="1">
        <v>1</v>
      </c>
      <c r="Q8" s="12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1">
        <v>1</v>
      </c>
      <c r="X8" s="1">
        <v>1</v>
      </c>
      <c r="Y8" s="1">
        <v>1</v>
      </c>
      <c r="Z8" s="1">
        <v>1</v>
      </c>
      <c r="AA8" s="12">
        <v>1</v>
      </c>
      <c r="AB8" s="1">
        <v>1</v>
      </c>
      <c r="AC8" s="1">
        <v>1</v>
      </c>
      <c r="AD8" s="1">
        <v>0</v>
      </c>
      <c r="AE8" s="1">
        <v>1</v>
      </c>
      <c r="AF8" s="1">
        <v>1</v>
      </c>
      <c r="AG8" s="22">
        <f t="shared" si="0"/>
        <v>29</v>
      </c>
      <c r="AH8" s="19" t="s">
        <v>28</v>
      </c>
      <c r="AI8" s="1">
        <v>0</v>
      </c>
      <c r="AJ8" s="1" t="s">
        <v>19</v>
      </c>
      <c r="AK8" s="1" t="s">
        <v>30</v>
      </c>
      <c r="AL8" s="1">
        <v>4.5999999999999996</v>
      </c>
      <c r="AM8" s="1">
        <v>4.5999999999999996</v>
      </c>
      <c r="AN8" s="1">
        <v>4.3</v>
      </c>
      <c r="AO8" s="1">
        <v>18.7882</v>
      </c>
      <c r="AP8" s="12">
        <v>98.967799999999997</v>
      </c>
    </row>
    <row r="9" spans="1:42" ht="15.75">
      <c r="A9" s="11">
        <v>7</v>
      </c>
      <c r="B9" s="19" t="s">
        <v>31</v>
      </c>
      <c r="C9" s="11">
        <v>1</v>
      </c>
      <c r="D9" s="1">
        <v>1</v>
      </c>
      <c r="E9" s="1">
        <v>1</v>
      </c>
      <c r="F9" s="1">
        <v>0</v>
      </c>
      <c r="G9" s="12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1">
        <v>0</v>
      </c>
      <c r="N9" s="1">
        <v>1</v>
      </c>
      <c r="O9" s="1">
        <v>0</v>
      </c>
      <c r="P9" s="1">
        <v>1</v>
      </c>
      <c r="Q9" s="12">
        <v>0</v>
      </c>
      <c r="R9" s="1">
        <v>1</v>
      </c>
      <c r="S9" s="1">
        <v>1</v>
      </c>
      <c r="T9" s="1">
        <v>1</v>
      </c>
      <c r="U9" s="1">
        <v>1</v>
      </c>
      <c r="V9" s="1">
        <v>0</v>
      </c>
      <c r="W9" s="11">
        <v>1</v>
      </c>
      <c r="X9" s="1">
        <v>1</v>
      </c>
      <c r="Y9" s="1">
        <v>0</v>
      </c>
      <c r="Z9" s="1">
        <v>1</v>
      </c>
      <c r="AA9" s="12">
        <v>1</v>
      </c>
      <c r="AB9" s="1">
        <v>1</v>
      </c>
      <c r="AC9" s="1">
        <v>1</v>
      </c>
      <c r="AD9" s="1">
        <v>0</v>
      </c>
      <c r="AE9" s="1">
        <v>0</v>
      </c>
      <c r="AF9" s="1">
        <v>1</v>
      </c>
      <c r="AG9" s="22">
        <f t="shared" si="0"/>
        <v>22</v>
      </c>
      <c r="AH9" s="19" t="s">
        <v>32</v>
      </c>
      <c r="AI9" s="1">
        <v>0</v>
      </c>
      <c r="AJ9" s="1" t="s">
        <v>33</v>
      </c>
      <c r="AK9" s="1" t="s">
        <v>20</v>
      </c>
      <c r="AL9" s="1">
        <v>4.7</v>
      </c>
      <c r="AM9" s="1">
        <v>4.8</v>
      </c>
      <c r="AN9" s="1">
        <v>4.4000000000000004</v>
      </c>
      <c r="AO9" s="1">
        <v>18.786000000000001</v>
      </c>
      <c r="AP9" s="12">
        <v>98.982600000000005</v>
      </c>
    </row>
    <row r="10" spans="1:42" ht="15.75">
      <c r="A10" s="11">
        <v>8</v>
      </c>
      <c r="B10" s="19" t="s">
        <v>34</v>
      </c>
      <c r="C10" s="11">
        <v>1</v>
      </c>
      <c r="D10" s="1">
        <v>1</v>
      </c>
      <c r="E10" s="1">
        <v>1</v>
      </c>
      <c r="F10" s="1">
        <v>0</v>
      </c>
      <c r="G10" s="12">
        <v>1</v>
      </c>
      <c r="H10" s="1">
        <v>0</v>
      </c>
      <c r="I10" s="1">
        <v>1</v>
      </c>
      <c r="J10" s="1">
        <v>1</v>
      </c>
      <c r="K10" s="1">
        <v>1</v>
      </c>
      <c r="L10" s="1">
        <v>1</v>
      </c>
      <c r="M10" s="11">
        <v>0</v>
      </c>
      <c r="N10" s="1">
        <v>0</v>
      </c>
      <c r="O10" s="1">
        <v>0</v>
      </c>
      <c r="P10" s="1">
        <v>0</v>
      </c>
      <c r="Q10" s="12">
        <v>0</v>
      </c>
      <c r="R10" s="1">
        <v>1</v>
      </c>
      <c r="S10" s="1">
        <v>0</v>
      </c>
      <c r="T10" s="1">
        <v>1</v>
      </c>
      <c r="U10" s="1">
        <v>0</v>
      </c>
      <c r="V10" s="1">
        <v>0</v>
      </c>
      <c r="W10" s="11">
        <v>1</v>
      </c>
      <c r="X10" s="1">
        <v>1</v>
      </c>
      <c r="Y10" s="1">
        <v>1</v>
      </c>
      <c r="Z10" s="1">
        <v>1</v>
      </c>
      <c r="AA10" s="12">
        <v>1</v>
      </c>
      <c r="AB10" s="1">
        <v>1</v>
      </c>
      <c r="AC10" s="1">
        <v>1</v>
      </c>
      <c r="AD10" s="1">
        <v>0</v>
      </c>
      <c r="AE10" s="1">
        <v>0</v>
      </c>
      <c r="AF10" s="1">
        <v>1</v>
      </c>
      <c r="AG10" s="22">
        <f t="shared" si="0"/>
        <v>18</v>
      </c>
      <c r="AH10" s="19" t="s">
        <v>28</v>
      </c>
      <c r="AI10" s="1">
        <v>0</v>
      </c>
      <c r="AJ10" s="1" t="s">
        <v>19</v>
      </c>
      <c r="AK10" s="1" t="s">
        <v>20</v>
      </c>
      <c r="AL10" s="1">
        <v>4.5</v>
      </c>
      <c r="AM10" s="1">
        <v>5</v>
      </c>
      <c r="AN10" s="1">
        <v>4.3</v>
      </c>
      <c r="AO10" s="1">
        <v>18.778700000000001</v>
      </c>
      <c r="AP10" s="12">
        <v>98.983699999999999</v>
      </c>
    </row>
    <row r="11" spans="1:42" ht="15.75">
      <c r="A11" s="11">
        <v>9</v>
      </c>
      <c r="B11" s="19" t="s">
        <v>35</v>
      </c>
      <c r="C11" s="11">
        <v>0</v>
      </c>
      <c r="D11" s="1">
        <v>1</v>
      </c>
      <c r="E11" s="1">
        <v>1</v>
      </c>
      <c r="F11" s="1">
        <v>1</v>
      </c>
      <c r="G11" s="12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1">
        <v>0</v>
      </c>
      <c r="N11" s="1">
        <v>0</v>
      </c>
      <c r="O11" s="1">
        <v>0</v>
      </c>
      <c r="P11" s="1">
        <v>1</v>
      </c>
      <c r="Q11" s="12">
        <v>0</v>
      </c>
      <c r="R11" s="1">
        <v>1</v>
      </c>
      <c r="S11" s="1">
        <v>1</v>
      </c>
      <c r="T11" s="1">
        <v>1</v>
      </c>
      <c r="U11" s="1">
        <v>1</v>
      </c>
      <c r="V11" s="1">
        <v>0</v>
      </c>
      <c r="W11" s="11">
        <v>1</v>
      </c>
      <c r="X11" s="1">
        <v>1</v>
      </c>
      <c r="Y11" s="1">
        <v>0</v>
      </c>
      <c r="Z11" s="1">
        <v>1</v>
      </c>
      <c r="AA11" s="12">
        <v>1</v>
      </c>
      <c r="AB11" s="1">
        <v>1</v>
      </c>
      <c r="AC11" s="1">
        <v>1</v>
      </c>
      <c r="AD11" s="1">
        <v>0</v>
      </c>
      <c r="AE11" s="1">
        <v>0</v>
      </c>
      <c r="AF11" s="1">
        <v>1</v>
      </c>
      <c r="AG11" s="22">
        <f t="shared" si="0"/>
        <v>21</v>
      </c>
      <c r="AH11" s="19" t="s">
        <v>36</v>
      </c>
      <c r="AI11" s="1">
        <v>0</v>
      </c>
      <c r="AJ11" s="1" t="s">
        <v>33</v>
      </c>
      <c r="AK11" s="1" t="s">
        <v>23</v>
      </c>
      <c r="AL11" s="1">
        <v>4.5</v>
      </c>
      <c r="AM11" s="1">
        <v>4.5</v>
      </c>
      <c r="AN11" s="1">
        <v>3.8</v>
      </c>
      <c r="AO11" s="1">
        <v>18.788</v>
      </c>
      <c r="AP11" s="12">
        <v>98.9983</v>
      </c>
    </row>
    <row r="12" spans="1:42" ht="15.75">
      <c r="A12" s="11">
        <v>10</v>
      </c>
      <c r="B12" s="19" t="s">
        <v>37</v>
      </c>
      <c r="C12" s="11">
        <v>1</v>
      </c>
      <c r="D12" s="1">
        <v>1</v>
      </c>
      <c r="E12" s="1">
        <v>1</v>
      </c>
      <c r="F12" s="1">
        <v>1</v>
      </c>
      <c r="G12" s="12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1">
        <v>0</v>
      </c>
      <c r="N12" s="1">
        <v>1</v>
      </c>
      <c r="O12" s="1">
        <v>1</v>
      </c>
      <c r="P12" s="1">
        <v>0</v>
      </c>
      <c r="Q12" s="12">
        <v>0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1">
        <v>1</v>
      </c>
      <c r="X12" s="1">
        <v>1</v>
      </c>
      <c r="Y12" s="1">
        <v>0</v>
      </c>
      <c r="Z12" s="1">
        <v>0</v>
      </c>
      <c r="AA12" s="12">
        <v>0</v>
      </c>
      <c r="AB12" s="1">
        <v>1</v>
      </c>
      <c r="AC12" s="1">
        <v>1</v>
      </c>
      <c r="AD12" s="1">
        <v>0</v>
      </c>
      <c r="AE12" s="1">
        <v>0</v>
      </c>
      <c r="AF12" s="1">
        <v>1</v>
      </c>
      <c r="AG12" s="22">
        <f t="shared" si="0"/>
        <v>22</v>
      </c>
      <c r="AH12" s="19" t="s">
        <v>28</v>
      </c>
      <c r="AI12" s="1">
        <v>0</v>
      </c>
      <c r="AJ12" s="1" t="s">
        <v>33</v>
      </c>
      <c r="AK12" s="1" t="s">
        <v>23</v>
      </c>
      <c r="AL12" s="1">
        <v>4.5999999999999996</v>
      </c>
      <c r="AM12" s="1">
        <v>4.9000000000000004</v>
      </c>
      <c r="AN12" s="1">
        <v>4.2</v>
      </c>
      <c r="AO12" s="1">
        <v>18.792400000000001</v>
      </c>
      <c r="AP12" s="12">
        <v>99.003399999999999</v>
      </c>
    </row>
    <row r="13" spans="1:42" ht="15.75">
      <c r="A13" s="11">
        <v>11</v>
      </c>
      <c r="B13" s="19" t="s">
        <v>38</v>
      </c>
      <c r="C13" s="11">
        <v>1</v>
      </c>
      <c r="D13" s="1">
        <v>1</v>
      </c>
      <c r="E13" s="1">
        <v>1</v>
      </c>
      <c r="F13" s="1">
        <v>1</v>
      </c>
      <c r="G13" s="12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1">
        <v>1</v>
      </c>
      <c r="N13" s="1">
        <v>1</v>
      </c>
      <c r="O13" s="1">
        <v>1</v>
      </c>
      <c r="P13" s="1">
        <v>1</v>
      </c>
      <c r="Q13" s="12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1">
        <v>1</v>
      </c>
      <c r="X13" s="1">
        <v>1</v>
      </c>
      <c r="Y13" s="1">
        <v>0</v>
      </c>
      <c r="Z13" s="1">
        <v>1</v>
      </c>
      <c r="AA13" s="12">
        <v>1</v>
      </c>
      <c r="AB13" s="1">
        <v>1</v>
      </c>
      <c r="AC13" s="1">
        <v>1</v>
      </c>
      <c r="AD13" s="1">
        <v>0</v>
      </c>
      <c r="AE13" s="1">
        <v>0</v>
      </c>
      <c r="AF13" s="1">
        <v>1</v>
      </c>
      <c r="AG13" s="22">
        <f t="shared" si="0"/>
        <v>27</v>
      </c>
      <c r="AH13" s="19" t="s">
        <v>39</v>
      </c>
      <c r="AI13" s="1">
        <v>90</v>
      </c>
      <c r="AJ13" s="1" t="s">
        <v>15</v>
      </c>
      <c r="AK13" s="1" t="s">
        <v>20</v>
      </c>
      <c r="AL13" s="1">
        <v>4.5</v>
      </c>
      <c r="AM13" s="1">
        <v>4.2</v>
      </c>
      <c r="AN13" s="1">
        <v>4.0999999999999996</v>
      </c>
      <c r="AO13" s="1">
        <v>18.788900000000002</v>
      </c>
      <c r="AP13" s="12">
        <v>98.990799999999993</v>
      </c>
    </row>
    <row r="14" spans="1:42" ht="15.75">
      <c r="A14" s="11">
        <v>12</v>
      </c>
      <c r="B14" s="19" t="s">
        <v>40</v>
      </c>
      <c r="C14" s="11">
        <v>1</v>
      </c>
      <c r="D14" s="1">
        <v>1</v>
      </c>
      <c r="E14" s="1">
        <v>1</v>
      </c>
      <c r="F14" s="1">
        <v>1</v>
      </c>
      <c r="G14" s="12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1">
        <v>1</v>
      </c>
      <c r="N14" s="1">
        <v>1</v>
      </c>
      <c r="O14" s="1">
        <v>1</v>
      </c>
      <c r="P14" s="1">
        <v>1</v>
      </c>
      <c r="Q14" s="12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1">
        <v>1</v>
      </c>
      <c r="X14" s="1">
        <v>1</v>
      </c>
      <c r="Y14" s="1">
        <v>0</v>
      </c>
      <c r="Z14" s="1">
        <v>1</v>
      </c>
      <c r="AA14" s="12">
        <v>1</v>
      </c>
      <c r="AB14" s="1">
        <v>1</v>
      </c>
      <c r="AC14" s="1">
        <v>1</v>
      </c>
      <c r="AD14" s="1">
        <v>0</v>
      </c>
      <c r="AE14" s="1">
        <v>0</v>
      </c>
      <c r="AF14" s="1">
        <v>1</v>
      </c>
      <c r="AG14" s="22">
        <f t="shared" si="0"/>
        <v>27</v>
      </c>
      <c r="AH14" s="19" t="s">
        <v>39</v>
      </c>
      <c r="AI14" s="1">
        <v>20</v>
      </c>
      <c r="AJ14" s="1" t="s">
        <v>15</v>
      </c>
      <c r="AK14" s="1" t="s">
        <v>20</v>
      </c>
      <c r="AL14" s="1">
        <v>4.3</v>
      </c>
      <c r="AM14" s="1">
        <v>4.3</v>
      </c>
      <c r="AN14" s="1">
        <v>4.5999999999999996</v>
      </c>
      <c r="AO14" s="1">
        <v>18.790199999999999</v>
      </c>
      <c r="AP14" s="12">
        <v>98.988399999999999</v>
      </c>
    </row>
    <row r="15" spans="1:42" ht="15.75">
      <c r="A15" s="11">
        <v>13</v>
      </c>
      <c r="B15" s="19" t="s">
        <v>41</v>
      </c>
      <c r="C15" s="11">
        <v>1</v>
      </c>
      <c r="D15" s="1">
        <v>1</v>
      </c>
      <c r="E15" s="1">
        <v>1</v>
      </c>
      <c r="F15" s="1">
        <v>1</v>
      </c>
      <c r="G15" s="12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1">
        <v>1</v>
      </c>
      <c r="N15" s="1">
        <v>1</v>
      </c>
      <c r="O15" s="1">
        <v>1</v>
      </c>
      <c r="P15" s="1">
        <v>0</v>
      </c>
      <c r="Q15" s="12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1">
        <v>1</v>
      </c>
      <c r="X15" s="1">
        <v>1</v>
      </c>
      <c r="Y15" s="1">
        <v>0</v>
      </c>
      <c r="Z15" s="1">
        <v>1</v>
      </c>
      <c r="AA15" s="12">
        <v>1</v>
      </c>
      <c r="AB15" s="1">
        <v>1</v>
      </c>
      <c r="AC15" s="1">
        <v>1</v>
      </c>
      <c r="AD15" s="1">
        <v>0</v>
      </c>
      <c r="AE15" s="1">
        <v>0</v>
      </c>
      <c r="AF15" s="1">
        <v>1</v>
      </c>
      <c r="AG15" s="22">
        <f t="shared" si="0"/>
        <v>26</v>
      </c>
      <c r="AH15" s="19" t="s">
        <v>42</v>
      </c>
      <c r="AI15" s="1">
        <v>20</v>
      </c>
      <c r="AJ15" s="1" t="s">
        <v>19</v>
      </c>
      <c r="AK15" s="1" t="s">
        <v>43</v>
      </c>
      <c r="AL15" s="1">
        <v>4.2</v>
      </c>
      <c r="AM15" s="1">
        <v>4.4000000000000004</v>
      </c>
      <c r="AN15" s="1">
        <v>3.6</v>
      </c>
      <c r="AO15" s="1">
        <v>18.811199999999999</v>
      </c>
      <c r="AP15" s="20">
        <v>98.976399999999998</v>
      </c>
    </row>
    <row r="16" spans="1:42" ht="15.75">
      <c r="A16" s="11">
        <v>14</v>
      </c>
      <c r="B16" s="19" t="s">
        <v>44</v>
      </c>
      <c r="C16" s="11">
        <v>1</v>
      </c>
      <c r="D16" s="1">
        <v>1</v>
      </c>
      <c r="E16" s="1">
        <v>1</v>
      </c>
      <c r="F16" s="1">
        <v>0</v>
      </c>
      <c r="G16" s="12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1">
        <v>1</v>
      </c>
      <c r="N16" s="1">
        <v>0</v>
      </c>
      <c r="O16" s="1">
        <v>1</v>
      </c>
      <c r="P16" s="1">
        <v>0</v>
      </c>
      <c r="Q16" s="12">
        <v>0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1">
        <v>1</v>
      </c>
      <c r="X16" s="1">
        <v>1</v>
      </c>
      <c r="Y16" s="1">
        <v>0</v>
      </c>
      <c r="Z16" s="1">
        <v>1</v>
      </c>
      <c r="AA16" s="12">
        <v>1</v>
      </c>
      <c r="AB16" s="1">
        <v>1</v>
      </c>
      <c r="AC16" s="1">
        <v>1</v>
      </c>
      <c r="AD16" s="1">
        <v>1</v>
      </c>
      <c r="AE16" s="1">
        <v>0</v>
      </c>
      <c r="AF16" s="1">
        <v>1</v>
      </c>
      <c r="AG16" s="22">
        <f t="shared" si="0"/>
        <v>24</v>
      </c>
      <c r="AH16" s="19" t="s">
        <v>45</v>
      </c>
      <c r="AI16" s="1">
        <v>0</v>
      </c>
      <c r="AJ16" s="1" t="s">
        <v>19</v>
      </c>
      <c r="AK16" s="1" t="s">
        <v>43</v>
      </c>
      <c r="AL16" s="1">
        <v>4.3</v>
      </c>
      <c r="AM16" s="1">
        <v>4.5999999999999996</v>
      </c>
      <c r="AN16" s="1"/>
      <c r="AO16" s="1">
        <v>18.821400000000001</v>
      </c>
      <c r="AP16" s="12">
        <v>98.974699999999999</v>
      </c>
    </row>
    <row r="17" spans="1:42" ht="15.75">
      <c r="A17" s="11">
        <v>15</v>
      </c>
      <c r="B17" s="19" t="s">
        <v>46</v>
      </c>
      <c r="C17" s="1">
        <v>1</v>
      </c>
      <c r="D17" s="1">
        <v>1</v>
      </c>
      <c r="E17" s="1">
        <v>1</v>
      </c>
      <c r="F17" s="1">
        <v>0</v>
      </c>
      <c r="G17" s="12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1">
        <v>1</v>
      </c>
      <c r="N17" s="1">
        <v>1</v>
      </c>
      <c r="O17" s="1">
        <v>1</v>
      </c>
      <c r="P17" s="1">
        <v>0</v>
      </c>
      <c r="Q17" s="12">
        <v>1</v>
      </c>
      <c r="R17" s="1">
        <v>1</v>
      </c>
      <c r="S17" s="1">
        <v>0</v>
      </c>
      <c r="T17" s="1">
        <v>1</v>
      </c>
      <c r="U17" s="1">
        <v>1</v>
      </c>
      <c r="V17" s="1">
        <v>1</v>
      </c>
      <c r="W17" s="11">
        <v>0</v>
      </c>
      <c r="X17" s="1">
        <v>0</v>
      </c>
      <c r="Y17" s="1">
        <v>0</v>
      </c>
      <c r="Z17" s="1">
        <v>1</v>
      </c>
      <c r="AA17" s="12">
        <v>1</v>
      </c>
      <c r="AB17" s="1">
        <v>1</v>
      </c>
      <c r="AC17" s="1">
        <v>1</v>
      </c>
      <c r="AD17" s="1">
        <v>0</v>
      </c>
      <c r="AE17" s="1">
        <v>0</v>
      </c>
      <c r="AF17" s="1">
        <v>0</v>
      </c>
      <c r="AG17" s="22">
        <f t="shared" si="0"/>
        <v>21</v>
      </c>
      <c r="AH17" s="19" t="s">
        <v>47</v>
      </c>
      <c r="AI17" s="1">
        <v>150</v>
      </c>
      <c r="AJ17" s="1" t="s">
        <v>15</v>
      </c>
      <c r="AK17" s="1" t="s">
        <v>20</v>
      </c>
      <c r="AL17" s="1">
        <v>4.4000000000000004</v>
      </c>
      <c r="AM17" s="1">
        <v>4.8</v>
      </c>
      <c r="AN17" s="1">
        <v>4</v>
      </c>
      <c r="AO17" s="1">
        <v>18.757200000000001</v>
      </c>
      <c r="AP17" s="12">
        <v>99.093699999999998</v>
      </c>
    </row>
    <row r="18" spans="1:42" ht="15.75">
      <c r="A18" s="11">
        <v>16</v>
      </c>
      <c r="B18" s="19" t="s">
        <v>48</v>
      </c>
      <c r="C18" s="1">
        <v>1</v>
      </c>
      <c r="D18" s="1">
        <v>1</v>
      </c>
      <c r="E18" s="1">
        <v>1</v>
      </c>
      <c r="F18" s="1">
        <v>1</v>
      </c>
      <c r="G18" s="12">
        <v>1</v>
      </c>
      <c r="H18" s="1">
        <v>0</v>
      </c>
      <c r="I18" s="1">
        <v>1</v>
      </c>
      <c r="J18" s="1">
        <v>1</v>
      </c>
      <c r="K18" s="1">
        <v>1</v>
      </c>
      <c r="L18" s="1">
        <v>1</v>
      </c>
      <c r="M18" s="11">
        <v>1</v>
      </c>
      <c r="N18" s="1">
        <v>1</v>
      </c>
      <c r="O18" s="1">
        <v>1</v>
      </c>
      <c r="P18" s="1">
        <v>1</v>
      </c>
      <c r="Q18" s="12">
        <v>1</v>
      </c>
      <c r="R18" s="1">
        <v>1</v>
      </c>
      <c r="S18" s="1">
        <v>0</v>
      </c>
      <c r="T18" s="1">
        <v>1</v>
      </c>
      <c r="U18" s="1">
        <v>1</v>
      </c>
      <c r="V18" s="1">
        <v>1</v>
      </c>
      <c r="W18" s="11">
        <v>0</v>
      </c>
      <c r="X18" s="1">
        <v>0</v>
      </c>
      <c r="Y18" s="1">
        <v>0</v>
      </c>
      <c r="Z18" s="1">
        <v>0</v>
      </c>
      <c r="AA18" s="12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22">
        <f t="shared" si="0"/>
        <v>19</v>
      </c>
      <c r="AH18" s="19" t="s">
        <v>49</v>
      </c>
      <c r="AI18" s="1">
        <v>200</v>
      </c>
      <c r="AJ18" s="1" t="s">
        <v>50</v>
      </c>
      <c r="AK18" s="1" t="s">
        <v>16</v>
      </c>
      <c r="AL18" s="1">
        <v>4.5</v>
      </c>
      <c r="AM18" s="1">
        <v>4.7</v>
      </c>
      <c r="AN18" s="1">
        <v>4</v>
      </c>
      <c r="AO18" s="1">
        <v>18.782800000000002</v>
      </c>
      <c r="AP18" s="20">
        <v>99.000299999999996</v>
      </c>
    </row>
    <row r="19" spans="1:42" ht="15.75">
      <c r="A19" s="11">
        <v>17</v>
      </c>
      <c r="B19" s="19" t="s">
        <v>51</v>
      </c>
      <c r="C19" s="11">
        <v>1</v>
      </c>
      <c r="D19" s="1">
        <v>1</v>
      </c>
      <c r="E19" s="1">
        <v>1</v>
      </c>
      <c r="F19" s="1">
        <v>1</v>
      </c>
      <c r="G19" s="12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1">
        <v>1</v>
      </c>
      <c r="N19" s="1">
        <v>1</v>
      </c>
      <c r="O19" s="1">
        <v>1</v>
      </c>
      <c r="P19" s="1">
        <v>1</v>
      </c>
      <c r="Q19" s="12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1">
        <v>1</v>
      </c>
      <c r="X19" s="1">
        <v>1</v>
      </c>
      <c r="Y19" s="1">
        <v>0</v>
      </c>
      <c r="Z19" s="1">
        <v>1</v>
      </c>
      <c r="AA19" s="12">
        <v>1</v>
      </c>
      <c r="AB19" s="1">
        <v>1</v>
      </c>
      <c r="AC19" s="1">
        <v>1</v>
      </c>
      <c r="AD19" s="1">
        <v>0</v>
      </c>
      <c r="AE19" s="1">
        <v>0</v>
      </c>
      <c r="AF19" s="1">
        <v>1</v>
      </c>
      <c r="AG19" s="22">
        <f t="shared" si="0"/>
        <v>27</v>
      </c>
      <c r="AH19" s="19" t="s">
        <v>52</v>
      </c>
      <c r="AI19" s="1">
        <v>20</v>
      </c>
      <c r="AJ19" s="1" t="s">
        <v>19</v>
      </c>
      <c r="AK19" s="1" t="s">
        <v>43</v>
      </c>
      <c r="AL19" s="1">
        <v>4.2</v>
      </c>
      <c r="AM19" s="1">
        <v>5</v>
      </c>
      <c r="AN19" s="1">
        <v>4.4000000000000004</v>
      </c>
      <c r="AO19" s="1">
        <v>18.790199999999999</v>
      </c>
      <c r="AP19" s="12">
        <v>98.9863</v>
      </c>
    </row>
    <row r="20" spans="1:42" ht="15.75">
      <c r="A20" s="11">
        <v>18</v>
      </c>
      <c r="B20" s="19" t="s">
        <v>53</v>
      </c>
      <c r="C20" s="11">
        <v>0</v>
      </c>
      <c r="D20" s="1">
        <v>1</v>
      </c>
      <c r="E20" s="1">
        <v>1</v>
      </c>
      <c r="F20" s="1">
        <v>0</v>
      </c>
      <c r="G20" s="12">
        <v>1</v>
      </c>
      <c r="H20" s="1">
        <v>0</v>
      </c>
      <c r="I20" s="1">
        <v>1</v>
      </c>
      <c r="J20" s="1">
        <v>1</v>
      </c>
      <c r="K20" s="1">
        <v>0</v>
      </c>
      <c r="L20" s="1">
        <v>0</v>
      </c>
      <c r="M20" s="11">
        <v>0</v>
      </c>
      <c r="N20" s="1">
        <v>0</v>
      </c>
      <c r="O20" s="1">
        <v>0</v>
      </c>
      <c r="P20" s="1">
        <v>0</v>
      </c>
      <c r="Q20" s="12">
        <v>0</v>
      </c>
      <c r="R20" s="1">
        <v>1</v>
      </c>
      <c r="S20" s="1">
        <v>0</v>
      </c>
      <c r="T20" s="1">
        <v>1</v>
      </c>
      <c r="U20" s="1">
        <v>1</v>
      </c>
      <c r="V20" s="1">
        <v>1</v>
      </c>
      <c r="W20" s="11">
        <v>0</v>
      </c>
      <c r="X20" s="1">
        <v>0</v>
      </c>
      <c r="Y20" s="1">
        <v>0</v>
      </c>
      <c r="Z20" s="1">
        <v>0</v>
      </c>
      <c r="AA20" s="12">
        <v>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22">
        <f t="shared" si="0"/>
        <v>10</v>
      </c>
      <c r="AH20" s="19" t="s">
        <v>54</v>
      </c>
      <c r="AI20" s="1">
        <v>200</v>
      </c>
      <c r="AJ20" s="1" t="s">
        <v>19</v>
      </c>
      <c r="AK20" s="1" t="s">
        <v>55</v>
      </c>
      <c r="AL20" s="1">
        <v>4.3</v>
      </c>
      <c r="AM20" s="1">
        <v>4.3</v>
      </c>
      <c r="AN20" s="1"/>
      <c r="AO20" s="1">
        <v>18.796099999999999</v>
      </c>
      <c r="AP20" s="12">
        <v>98.970600000000005</v>
      </c>
    </row>
    <row r="21" spans="1:42" ht="15.75">
      <c r="A21" s="11">
        <v>19</v>
      </c>
      <c r="B21" s="19" t="s">
        <v>56</v>
      </c>
      <c r="C21" s="1">
        <v>1</v>
      </c>
      <c r="D21" s="1">
        <v>1</v>
      </c>
      <c r="E21" s="1">
        <v>1</v>
      </c>
      <c r="F21" s="1">
        <v>0</v>
      </c>
      <c r="G21" s="12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1">
        <v>0</v>
      </c>
      <c r="N21" s="1">
        <v>0</v>
      </c>
      <c r="O21" s="1">
        <v>0</v>
      </c>
      <c r="P21" s="1">
        <v>0</v>
      </c>
      <c r="Q21" s="12">
        <v>0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1">
        <v>1</v>
      </c>
      <c r="X21" s="1">
        <v>1</v>
      </c>
      <c r="Y21" s="1">
        <v>0</v>
      </c>
      <c r="Z21" s="1">
        <v>1</v>
      </c>
      <c r="AA21" s="12">
        <v>1</v>
      </c>
      <c r="AB21" s="1">
        <v>1</v>
      </c>
      <c r="AC21" s="1">
        <v>1</v>
      </c>
      <c r="AD21" s="1">
        <v>1</v>
      </c>
      <c r="AE21" s="1">
        <v>0</v>
      </c>
      <c r="AF21" s="1">
        <v>1</v>
      </c>
      <c r="AG21" s="22">
        <f t="shared" si="0"/>
        <v>22</v>
      </c>
      <c r="AH21" s="19" t="s">
        <v>57</v>
      </c>
      <c r="AI21" s="1">
        <v>20</v>
      </c>
      <c r="AJ21" s="1" t="s">
        <v>19</v>
      </c>
      <c r="AK21" s="1" t="s">
        <v>43</v>
      </c>
      <c r="AL21" s="1">
        <v>4.7</v>
      </c>
      <c r="AM21" s="1">
        <v>5</v>
      </c>
      <c r="AN21" s="1">
        <v>4.2</v>
      </c>
      <c r="AO21" s="1">
        <v>18.931000000000001</v>
      </c>
      <c r="AP21" s="20">
        <v>98.891999999999996</v>
      </c>
    </row>
    <row r="22" spans="1:42" ht="15.75">
      <c r="A22" s="11">
        <v>20</v>
      </c>
      <c r="B22" s="19" t="s">
        <v>58</v>
      </c>
      <c r="C22" s="11">
        <v>1</v>
      </c>
      <c r="D22" s="1">
        <v>1</v>
      </c>
      <c r="E22" s="1">
        <v>1</v>
      </c>
      <c r="F22" s="1">
        <v>0</v>
      </c>
      <c r="G22" s="12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1">
        <v>1</v>
      </c>
      <c r="N22" s="1">
        <v>0</v>
      </c>
      <c r="O22" s="1">
        <v>1</v>
      </c>
      <c r="P22" s="1">
        <v>0</v>
      </c>
      <c r="Q22" s="12">
        <v>0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1">
        <v>1</v>
      </c>
      <c r="X22" s="1">
        <v>1</v>
      </c>
      <c r="Y22" s="1">
        <v>0</v>
      </c>
      <c r="Z22" s="1">
        <v>1</v>
      </c>
      <c r="AA22" s="12">
        <v>1</v>
      </c>
      <c r="AB22" s="1">
        <v>1</v>
      </c>
      <c r="AC22" s="1">
        <v>1</v>
      </c>
      <c r="AD22" s="1">
        <v>1</v>
      </c>
      <c r="AE22" s="1">
        <v>0</v>
      </c>
      <c r="AF22" s="1">
        <v>1</v>
      </c>
      <c r="AG22" s="22">
        <f t="shared" si="0"/>
        <v>24</v>
      </c>
      <c r="AH22" s="19" t="s">
        <v>42</v>
      </c>
      <c r="AI22" s="1">
        <v>0</v>
      </c>
      <c r="AJ22" s="1" t="s">
        <v>19</v>
      </c>
      <c r="AK22" s="1" t="s">
        <v>43</v>
      </c>
      <c r="AL22" s="1">
        <v>3.6</v>
      </c>
      <c r="AM22" s="1"/>
      <c r="AN22" s="1"/>
      <c r="AO22" s="1">
        <v>18.821400000000001</v>
      </c>
      <c r="AP22" s="12">
        <v>98.974699999999999</v>
      </c>
    </row>
    <row r="23" spans="1:42" ht="15.75">
      <c r="A23" s="11">
        <v>21</v>
      </c>
      <c r="B23" s="19" t="s">
        <v>59</v>
      </c>
      <c r="C23" s="11">
        <v>1</v>
      </c>
      <c r="D23" s="1">
        <v>1</v>
      </c>
      <c r="E23" s="1">
        <v>1</v>
      </c>
      <c r="F23" s="1">
        <v>0</v>
      </c>
      <c r="G23" s="12">
        <v>0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1">
        <v>0</v>
      </c>
      <c r="N23" s="1">
        <v>0</v>
      </c>
      <c r="O23" s="1">
        <v>1</v>
      </c>
      <c r="P23" s="1">
        <v>0</v>
      </c>
      <c r="Q23" s="12">
        <v>0</v>
      </c>
      <c r="R23" s="1">
        <v>0</v>
      </c>
      <c r="S23" s="1">
        <v>1</v>
      </c>
      <c r="T23" s="1">
        <v>0</v>
      </c>
      <c r="U23" s="1">
        <v>1</v>
      </c>
      <c r="V23" s="1">
        <v>0</v>
      </c>
      <c r="W23" s="11">
        <v>0</v>
      </c>
      <c r="X23" s="1">
        <v>1</v>
      </c>
      <c r="Y23" s="1">
        <v>0</v>
      </c>
      <c r="Z23" s="1">
        <v>1</v>
      </c>
      <c r="AA23" s="12">
        <v>1</v>
      </c>
      <c r="AB23" s="1">
        <v>1</v>
      </c>
      <c r="AC23" s="1">
        <v>1</v>
      </c>
      <c r="AD23" s="1">
        <v>1</v>
      </c>
      <c r="AE23" s="1">
        <v>0</v>
      </c>
      <c r="AF23" s="1">
        <v>1</v>
      </c>
      <c r="AG23" s="22">
        <f t="shared" si="0"/>
        <v>18</v>
      </c>
      <c r="AH23" s="19" t="s">
        <v>60</v>
      </c>
      <c r="AI23" s="1">
        <v>0</v>
      </c>
      <c r="AJ23" s="1" t="s">
        <v>61</v>
      </c>
      <c r="AK23" s="1" t="s">
        <v>62</v>
      </c>
      <c r="AL23" s="1">
        <v>4.8</v>
      </c>
      <c r="AM23" s="1">
        <v>4.5</v>
      </c>
      <c r="AN23" s="1"/>
      <c r="AO23" s="1">
        <v>18.885300000000001</v>
      </c>
      <c r="AP23" s="12">
        <v>99.000799999999998</v>
      </c>
    </row>
    <row r="24" spans="1:42" ht="15.75">
      <c r="A24" s="11">
        <v>22</v>
      </c>
      <c r="B24" s="19" t="s">
        <v>63</v>
      </c>
      <c r="C24" s="11">
        <v>1</v>
      </c>
      <c r="D24" s="1">
        <v>1</v>
      </c>
      <c r="E24" s="1">
        <v>1</v>
      </c>
      <c r="F24" s="1">
        <v>0</v>
      </c>
      <c r="G24" s="12">
        <v>1</v>
      </c>
      <c r="H24" s="1">
        <v>1</v>
      </c>
      <c r="I24" s="1">
        <v>1</v>
      </c>
      <c r="J24" s="1">
        <v>0</v>
      </c>
      <c r="K24" s="1">
        <v>1</v>
      </c>
      <c r="L24" s="1">
        <v>1</v>
      </c>
      <c r="M24" s="11">
        <v>0</v>
      </c>
      <c r="N24" s="1">
        <v>1</v>
      </c>
      <c r="O24" s="1">
        <v>1</v>
      </c>
      <c r="P24" s="1">
        <v>1</v>
      </c>
      <c r="Q24" s="12">
        <v>1</v>
      </c>
      <c r="R24" s="1">
        <v>0</v>
      </c>
      <c r="S24" s="1">
        <v>1</v>
      </c>
      <c r="T24" s="1">
        <v>0</v>
      </c>
      <c r="U24" s="1">
        <v>1</v>
      </c>
      <c r="V24" s="1">
        <v>1</v>
      </c>
      <c r="W24" s="11">
        <v>0</v>
      </c>
      <c r="X24" s="1">
        <v>0</v>
      </c>
      <c r="Y24" s="1">
        <v>0</v>
      </c>
      <c r="Z24" s="1">
        <v>1</v>
      </c>
      <c r="AA24" s="12">
        <v>1</v>
      </c>
      <c r="AB24" s="1">
        <v>1</v>
      </c>
      <c r="AC24" s="1">
        <v>1</v>
      </c>
      <c r="AD24" s="1">
        <v>1</v>
      </c>
      <c r="AE24" s="1">
        <v>0</v>
      </c>
      <c r="AF24" s="1">
        <v>0</v>
      </c>
      <c r="AG24" s="22">
        <f t="shared" si="0"/>
        <v>20</v>
      </c>
      <c r="AH24" s="19" t="s">
        <v>60</v>
      </c>
      <c r="AI24" s="1">
        <v>0</v>
      </c>
      <c r="AJ24" s="1" t="s">
        <v>64</v>
      </c>
      <c r="AK24" s="1" t="s">
        <v>65</v>
      </c>
      <c r="AL24" s="1">
        <v>3.9</v>
      </c>
      <c r="AM24" s="1">
        <v>4.5</v>
      </c>
      <c r="AN24" s="1">
        <v>4.0999999999999996</v>
      </c>
      <c r="AO24" s="1">
        <v>18.810600000000001</v>
      </c>
      <c r="AP24" s="20">
        <v>98.947900000000004</v>
      </c>
    </row>
    <row r="25" spans="1:42" ht="15.75">
      <c r="A25" s="11">
        <v>23</v>
      </c>
      <c r="B25" s="19" t="s">
        <v>66</v>
      </c>
      <c r="C25" s="11">
        <v>1</v>
      </c>
      <c r="D25" s="1">
        <v>1</v>
      </c>
      <c r="E25" s="1">
        <v>1</v>
      </c>
      <c r="F25" s="1">
        <v>1</v>
      </c>
      <c r="G25" s="12">
        <v>1</v>
      </c>
      <c r="H25" s="1">
        <v>1</v>
      </c>
      <c r="I25" s="1">
        <v>1</v>
      </c>
      <c r="J25" s="1">
        <v>0</v>
      </c>
      <c r="K25" s="1">
        <v>1</v>
      </c>
      <c r="L25" s="1">
        <v>1</v>
      </c>
      <c r="M25" s="11">
        <v>1</v>
      </c>
      <c r="N25" s="1">
        <v>1</v>
      </c>
      <c r="O25" s="1">
        <v>1</v>
      </c>
      <c r="P25" s="1">
        <v>0</v>
      </c>
      <c r="Q25" s="12">
        <v>1</v>
      </c>
      <c r="R25" s="11">
        <v>1</v>
      </c>
      <c r="S25" s="1">
        <v>1</v>
      </c>
      <c r="T25" s="1">
        <v>1</v>
      </c>
      <c r="U25" s="1">
        <v>0</v>
      </c>
      <c r="V25" s="12">
        <v>1</v>
      </c>
      <c r="W25" s="11">
        <v>0</v>
      </c>
      <c r="X25" s="1">
        <v>0</v>
      </c>
      <c r="Y25" s="1">
        <v>0</v>
      </c>
      <c r="Z25" s="1">
        <v>1</v>
      </c>
      <c r="AA25" s="12">
        <v>0</v>
      </c>
      <c r="AB25" s="1">
        <v>1</v>
      </c>
      <c r="AC25" s="1">
        <v>1</v>
      </c>
      <c r="AD25" s="1">
        <v>0</v>
      </c>
      <c r="AE25" s="1">
        <v>0</v>
      </c>
      <c r="AF25" s="1">
        <v>0</v>
      </c>
      <c r="AG25" s="22">
        <f t="shared" si="0"/>
        <v>20</v>
      </c>
      <c r="AH25" s="19" t="s">
        <v>67</v>
      </c>
      <c r="AI25" s="1">
        <v>150</v>
      </c>
      <c r="AJ25" s="1" t="s">
        <v>68</v>
      </c>
      <c r="AK25" s="1" t="s">
        <v>69</v>
      </c>
      <c r="AL25" s="1">
        <v>4.3</v>
      </c>
      <c r="AM25" s="1">
        <v>4.5999999999999996</v>
      </c>
      <c r="AN25" s="1">
        <v>4.2</v>
      </c>
      <c r="AO25" s="1">
        <v>18.7422</v>
      </c>
      <c r="AP25" s="12">
        <v>98.917199999999994</v>
      </c>
    </row>
    <row r="26" spans="1:42" ht="15.75">
      <c r="A26" s="11">
        <v>24</v>
      </c>
      <c r="B26" s="19" t="s">
        <v>70</v>
      </c>
      <c r="C26" s="11">
        <v>1</v>
      </c>
      <c r="D26" s="1">
        <v>1</v>
      </c>
      <c r="E26" s="1">
        <v>1</v>
      </c>
      <c r="F26" s="1">
        <v>0</v>
      </c>
      <c r="G26" s="12">
        <v>1</v>
      </c>
      <c r="H26" s="1">
        <v>1</v>
      </c>
      <c r="I26" s="1">
        <v>1</v>
      </c>
      <c r="J26" s="1">
        <v>0</v>
      </c>
      <c r="K26" s="1">
        <v>1</v>
      </c>
      <c r="L26" s="1">
        <v>1</v>
      </c>
      <c r="M26" s="11">
        <v>1</v>
      </c>
      <c r="N26" s="1">
        <v>1</v>
      </c>
      <c r="O26" s="1">
        <v>1</v>
      </c>
      <c r="P26" s="1">
        <v>0</v>
      </c>
      <c r="Q26" s="12">
        <v>0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1">
        <v>0</v>
      </c>
      <c r="X26" s="1">
        <v>1</v>
      </c>
      <c r="Y26" s="1">
        <v>0</v>
      </c>
      <c r="Z26" s="1">
        <v>0</v>
      </c>
      <c r="AA26" s="12">
        <v>0</v>
      </c>
      <c r="AB26" s="1">
        <v>1</v>
      </c>
      <c r="AC26" s="1">
        <v>1</v>
      </c>
      <c r="AD26" s="1">
        <v>1</v>
      </c>
      <c r="AE26" s="1">
        <v>0</v>
      </c>
      <c r="AF26" s="1">
        <v>0</v>
      </c>
      <c r="AG26" s="22">
        <f t="shared" si="0"/>
        <v>20</v>
      </c>
      <c r="AH26" s="19" t="s">
        <v>57</v>
      </c>
      <c r="AI26" s="1">
        <v>320</v>
      </c>
      <c r="AJ26" s="1" t="s">
        <v>15</v>
      </c>
      <c r="AK26" s="1" t="s">
        <v>71</v>
      </c>
      <c r="AL26" s="1">
        <v>4</v>
      </c>
      <c r="AM26" s="1">
        <v>4.5</v>
      </c>
      <c r="AN26" s="1"/>
      <c r="AO26" s="1">
        <v>18.924600000000002</v>
      </c>
      <c r="AP26" s="12">
        <v>98.932000000000002</v>
      </c>
    </row>
    <row r="27" spans="1:42" ht="15.75">
      <c r="A27" s="11">
        <v>25</v>
      </c>
      <c r="B27" s="19" t="s">
        <v>72</v>
      </c>
      <c r="C27" s="11">
        <v>0</v>
      </c>
      <c r="D27" s="1">
        <v>1</v>
      </c>
      <c r="E27" s="1">
        <v>1</v>
      </c>
      <c r="F27" s="1">
        <v>0</v>
      </c>
      <c r="G27" s="12">
        <v>0</v>
      </c>
      <c r="H27" s="1">
        <v>0</v>
      </c>
      <c r="I27" s="1">
        <v>0</v>
      </c>
      <c r="J27" s="1">
        <v>1</v>
      </c>
      <c r="K27" s="1">
        <v>1</v>
      </c>
      <c r="L27" s="1">
        <v>1</v>
      </c>
      <c r="M27" s="11">
        <v>0</v>
      </c>
      <c r="N27" s="1">
        <v>0</v>
      </c>
      <c r="O27" s="1">
        <v>0</v>
      </c>
      <c r="P27" s="1">
        <v>0</v>
      </c>
      <c r="Q27" s="12">
        <v>0</v>
      </c>
      <c r="R27" s="11">
        <v>0</v>
      </c>
      <c r="S27" s="1">
        <v>0</v>
      </c>
      <c r="T27" s="1">
        <v>0</v>
      </c>
      <c r="U27" s="1">
        <v>1</v>
      </c>
      <c r="V27" s="12">
        <v>0</v>
      </c>
      <c r="W27" s="11">
        <v>0</v>
      </c>
      <c r="X27" s="1">
        <v>1</v>
      </c>
      <c r="Y27" s="1">
        <v>0</v>
      </c>
      <c r="Z27" s="1">
        <v>0</v>
      </c>
      <c r="AA27" s="12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22">
        <f t="shared" si="0"/>
        <v>13</v>
      </c>
      <c r="AH27" s="19" t="s">
        <v>73</v>
      </c>
      <c r="AI27" s="1">
        <v>2900</v>
      </c>
      <c r="AJ27" s="1" t="s">
        <v>61</v>
      </c>
      <c r="AK27" s="1" t="s">
        <v>62</v>
      </c>
      <c r="AL27" s="1">
        <v>4.7</v>
      </c>
      <c r="AM27" s="1"/>
      <c r="AN27" s="1"/>
      <c r="AO27" s="1">
        <v>18.933299999999999</v>
      </c>
      <c r="AP27" s="20">
        <v>98.9</v>
      </c>
    </row>
    <row r="28" spans="1:42" ht="15.75">
      <c r="A28" s="11">
        <v>26</v>
      </c>
      <c r="B28" s="19" t="s">
        <v>74</v>
      </c>
      <c r="C28" s="11">
        <v>0</v>
      </c>
      <c r="D28" s="1">
        <v>1</v>
      </c>
      <c r="E28" s="1">
        <v>1</v>
      </c>
      <c r="F28" s="1">
        <v>0</v>
      </c>
      <c r="G28" s="12">
        <v>0</v>
      </c>
      <c r="H28" s="1">
        <v>0</v>
      </c>
      <c r="I28" s="1">
        <v>0</v>
      </c>
      <c r="J28" s="1">
        <v>1</v>
      </c>
      <c r="K28" s="1">
        <v>1</v>
      </c>
      <c r="L28" s="1">
        <v>1</v>
      </c>
      <c r="M28" s="11">
        <v>0</v>
      </c>
      <c r="N28" s="1">
        <v>0</v>
      </c>
      <c r="O28" s="1">
        <v>0</v>
      </c>
      <c r="P28" s="1">
        <v>0</v>
      </c>
      <c r="Q28" s="12">
        <v>0</v>
      </c>
      <c r="R28" s="11">
        <v>0</v>
      </c>
      <c r="S28" s="1">
        <v>0</v>
      </c>
      <c r="T28" s="1">
        <v>0</v>
      </c>
      <c r="U28" s="1">
        <v>1</v>
      </c>
      <c r="V28" s="12">
        <v>0</v>
      </c>
      <c r="W28" s="11">
        <v>0</v>
      </c>
      <c r="X28" s="1">
        <v>1</v>
      </c>
      <c r="Y28" s="1">
        <v>0</v>
      </c>
      <c r="Z28" s="1">
        <v>0</v>
      </c>
      <c r="AA28" s="12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22">
        <f t="shared" si="0"/>
        <v>13</v>
      </c>
      <c r="AH28" s="19" t="s">
        <v>36</v>
      </c>
      <c r="AI28" s="1">
        <v>3200</v>
      </c>
      <c r="AJ28" s="1" t="s">
        <v>75</v>
      </c>
      <c r="AK28" s="1" t="s">
        <v>76</v>
      </c>
      <c r="AL28" s="1">
        <v>4.4000000000000004</v>
      </c>
      <c r="AM28" s="1"/>
      <c r="AN28" s="1"/>
      <c r="AO28" s="1">
        <v>18.778099999999998</v>
      </c>
      <c r="AP28" s="12">
        <v>98.816299999999998</v>
      </c>
    </row>
    <row r="29" spans="1:42" ht="15.75">
      <c r="A29" s="11">
        <v>27</v>
      </c>
      <c r="B29" s="19" t="s">
        <v>77</v>
      </c>
      <c r="C29" s="11">
        <v>0</v>
      </c>
      <c r="D29" s="1">
        <v>1</v>
      </c>
      <c r="E29" s="1">
        <v>1</v>
      </c>
      <c r="F29" s="1">
        <v>0</v>
      </c>
      <c r="G29" s="12">
        <v>0</v>
      </c>
      <c r="H29" s="1">
        <v>0</v>
      </c>
      <c r="I29" s="1">
        <v>0</v>
      </c>
      <c r="J29" s="1">
        <v>1</v>
      </c>
      <c r="K29" s="1">
        <v>1</v>
      </c>
      <c r="L29" s="1">
        <v>1</v>
      </c>
      <c r="M29" s="11">
        <v>0</v>
      </c>
      <c r="N29" s="1">
        <v>0</v>
      </c>
      <c r="O29" s="1">
        <v>1</v>
      </c>
      <c r="P29" s="1">
        <v>0</v>
      </c>
      <c r="Q29" s="12">
        <v>0</v>
      </c>
      <c r="R29" s="11">
        <v>0</v>
      </c>
      <c r="S29" s="1">
        <v>0</v>
      </c>
      <c r="T29" s="1">
        <v>0</v>
      </c>
      <c r="U29" s="1">
        <v>1</v>
      </c>
      <c r="V29" s="12">
        <v>0</v>
      </c>
      <c r="W29" s="11">
        <v>1</v>
      </c>
      <c r="X29" s="1">
        <v>0</v>
      </c>
      <c r="Y29" s="1">
        <v>0</v>
      </c>
      <c r="Z29" s="1">
        <v>1</v>
      </c>
      <c r="AA29" s="12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22">
        <f t="shared" si="0"/>
        <v>15</v>
      </c>
      <c r="AH29" s="19" t="s">
        <v>28</v>
      </c>
      <c r="AI29" s="1">
        <v>50</v>
      </c>
      <c r="AJ29" s="1" t="s">
        <v>78</v>
      </c>
      <c r="AK29" s="1" t="s">
        <v>79</v>
      </c>
      <c r="AL29" s="1">
        <v>4.7</v>
      </c>
      <c r="AM29" s="1">
        <v>4.9000000000000004</v>
      </c>
      <c r="AN29" s="1">
        <v>4.5</v>
      </c>
      <c r="AO29" s="1">
        <v>18.5886</v>
      </c>
      <c r="AP29" s="12">
        <v>98.486999999999995</v>
      </c>
    </row>
    <row r="30" spans="1:42" ht="15.75">
      <c r="A30" s="11">
        <v>28</v>
      </c>
      <c r="B30" s="19" t="s">
        <v>80</v>
      </c>
      <c r="C30" s="11">
        <v>1</v>
      </c>
      <c r="D30" s="1">
        <v>1</v>
      </c>
      <c r="E30" s="1">
        <v>1</v>
      </c>
      <c r="F30" s="1">
        <v>0</v>
      </c>
      <c r="G30" s="12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1">
        <v>0</v>
      </c>
      <c r="N30" s="1">
        <v>0</v>
      </c>
      <c r="O30" s="1">
        <v>1</v>
      </c>
      <c r="P30" s="1">
        <v>0</v>
      </c>
      <c r="Q30" s="12">
        <v>0</v>
      </c>
      <c r="R30" s="1">
        <v>0</v>
      </c>
      <c r="S30" s="1">
        <v>1</v>
      </c>
      <c r="T30" s="1">
        <v>0</v>
      </c>
      <c r="U30" s="1">
        <v>1</v>
      </c>
      <c r="V30" s="1">
        <v>1</v>
      </c>
      <c r="W30" s="11">
        <v>1</v>
      </c>
      <c r="X30" s="1">
        <v>0</v>
      </c>
      <c r="Y30" s="1">
        <v>0</v>
      </c>
      <c r="Z30" s="1">
        <v>1</v>
      </c>
      <c r="AA30" s="12">
        <v>1</v>
      </c>
      <c r="AB30" s="1">
        <v>1</v>
      </c>
      <c r="AC30" s="1">
        <v>1</v>
      </c>
      <c r="AD30" s="1">
        <v>1</v>
      </c>
      <c r="AE30" s="1">
        <v>0</v>
      </c>
      <c r="AF30" s="1">
        <v>1</v>
      </c>
      <c r="AG30" s="22">
        <f t="shared" si="0"/>
        <v>20</v>
      </c>
      <c r="AH30" s="19" t="s">
        <v>39</v>
      </c>
      <c r="AI30" s="1">
        <v>0</v>
      </c>
      <c r="AJ30" s="1" t="s">
        <v>50</v>
      </c>
      <c r="AK30" s="1" t="s">
        <v>65</v>
      </c>
      <c r="AL30" s="1">
        <v>4.5999999999999996</v>
      </c>
      <c r="AM30" s="1">
        <v>4.7</v>
      </c>
      <c r="AN30" s="1">
        <v>4.3</v>
      </c>
      <c r="AO30" s="1">
        <v>18.9114</v>
      </c>
      <c r="AP30" s="20">
        <v>98.864599999999996</v>
      </c>
    </row>
    <row r="31" spans="1:42" ht="15.75">
      <c r="A31" s="11">
        <v>29</v>
      </c>
      <c r="B31" s="19" t="s">
        <v>81</v>
      </c>
      <c r="C31" s="11">
        <v>1</v>
      </c>
      <c r="D31" s="1">
        <v>1</v>
      </c>
      <c r="E31" s="1">
        <v>1</v>
      </c>
      <c r="F31" s="1">
        <v>1</v>
      </c>
      <c r="G31" s="12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1">
        <v>1</v>
      </c>
      <c r="N31" s="1">
        <v>1</v>
      </c>
      <c r="O31" s="1">
        <v>1</v>
      </c>
      <c r="P31" s="1">
        <v>0</v>
      </c>
      <c r="Q31" s="12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1">
        <v>0</v>
      </c>
      <c r="X31" s="1">
        <v>0</v>
      </c>
      <c r="Y31" s="1">
        <v>0</v>
      </c>
      <c r="Z31" s="1">
        <v>1</v>
      </c>
      <c r="AA31" s="12">
        <v>1</v>
      </c>
      <c r="AB31" s="1">
        <v>1</v>
      </c>
      <c r="AC31" s="1">
        <v>1</v>
      </c>
      <c r="AD31" s="1">
        <v>1</v>
      </c>
      <c r="AE31" s="1">
        <v>0</v>
      </c>
      <c r="AF31" s="1">
        <v>1</v>
      </c>
      <c r="AG31" s="22">
        <f t="shared" si="0"/>
        <v>25</v>
      </c>
      <c r="AH31" s="19" t="s">
        <v>52</v>
      </c>
      <c r="AI31" s="1">
        <v>86</v>
      </c>
      <c r="AJ31" s="1" t="s">
        <v>50</v>
      </c>
      <c r="AK31" s="1" t="s">
        <v>82</v>
      </c>
      <c r="AL31" s="1">
        <v>4.5</v>
      </c>
      <c r="AM31" s="1">
        <v>4.8</v>
      </c>
      <c r="AN31" s="1">
        <v>4.2</v>
      </c>
      <c r="AO31" s="1">
        <v>18.825099999999999</v>
      </c>
      <c r="AP31" s="12">
        <v>99.076499999999996</v>
      </c>
    </row>
    <row r="32" spans="1:42" ht="15.75">
      <c r="A32" s="11">
        <v>30</v>
      </c>
      <c r="B32" s="19" t="s">
        <v>83</v>
      </c>
      <c r="C32" s="11">
        <v>0</v>
      </c>
      <c r="D32" s="1">
        <v>1</v>
      </c>
      <c r="E32" s="1">
        <v>1</v>
      </c>
      <c r="F32" s="1">
        <v>0</v>
      </c>
      <c r="G32" s="12">
        <v>0</v>
      </c>
      <c r="H32" s="1">
        <v>0</v>
      </c>
      <c r="I32" s="1">
        <v>0</v>
      </c>
      <c r="J32" s="1">
        <v>1</v>
      </c>
      <c r="K32" s="1">
        <v>0</v>
      </c>
      <c r="L32" s="1">
        <v>1</v>
      </c>
      <c r="M32" s="11">
        <v>0</v>
      </c>
      <c r="N32" s="1">
        <v>0</v>
      </c>
      <c r="O32" s="1">
        <v>0</v>
      </c>
      <c r="P32" s="1">
        <v>0</v>
      </c>
      <c r="Q32" s="12">
        <v>0</v>
      </c>
      <c r="R32" s="11">
        <v>0</v>
      </c>
      <c r="S32" s="1">
        <v>0</v>
      </c>
      <c r="T32" s="1">
        <v>0</v>
      </c>
      <c r="U32" s="1">
        <v>0</v>
      </c>
      <c r="V32" s="12">
        <v>0</v>
      </c>
      <c r="W32" s="11">
        <v>0</v>
      </c>
      <c r="X32" s="1">
        <v>1</v>
      </c>
      <c r="Y32" s="1">
        <v>0</v>
      </c>
      <c r="Z32" s="1">
        <v>0</v>
      </c>
      <c r="AA32" s="12">
        <v>0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22">
        <f t="shared" si="0"/>
        <v>10</v>
      </c>
      <c r="AH32" s="19" t="s">
        <v>84</v>
      </c>
      <c r="AI32" s="1">
        <v>0</v>
      </c>
      <c r="AJ32" s="1" t="s">
        <v>64</v>
      </c>
      <c r="AK32" s="1" t="s">
        <v>62</v>
      </c>
      <c r="AL32" s="1">
        <v>4.4000000000000004</v>
      </c>
      <c r="AM32" s="1"/>
      <c r="AN32" s="1">
        <v>4.0999999999999996</v>
      </c>
      <c r="AO32" s="1">
        <v>18.933299999999999</v>
      </c>
      <c r="AP32" s="12">
        <v>98.8</v>
      </c>
    </row>
    <row r="33" spans="1:42" ht="15.75">
      <c r="A33" s="11">
        <v>31</v>
      </c>
      <c r="B33" s="19" t="s">
        <v>85</v>
      </c>
      <c r="C33" s="11">
        <v>0</v>
      </c>
      <c r="D33" s="1">
        <v>0</v>
      </c>
      <c r="E33" s="1">
        <v>0</v>
      </c>
      <c r="F33" s="1">
        <v>1</v>
      </c>
      <c r="G33" s="12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1">
        <v>0</v>
      </c>
      <c r="N33" s="1">
        <v>0</v>
      </c>
      <c r="O33" s="1">
        <v>0</v>
      </c>
      <c r="P33" s="1">
        <v>1</v>
      </c>
      <c r="Q33" s="12">
        <v>0</v>
      </c>
      <c r="R33" s="1">
        <v>1</v>
      </c>
      <c r="S33" s="1">
        <v>0</v>
      </c>
      <c r="T33" s="1">
        <v>1</v>
      </c>
      <c r="U33" s="1">
        <v>1</v>
      </c>
      <c r="V33" s="1">
        <v>0</v>
      </c>
      <c r="W33" s="11">
        <v>1</v>
      </c>
      <c r="X33" s="1">
        <v>1</v>
      </c>
      <c r="Y33" s="1">
        <v>0</v>
      </c>
      <c r="Z33" s="1">
        <v>0</v>
      </c>
      <c r="AA33" s="12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22">
        <f t="shared" si="0"/>
        <v>9</v>
      </c>
      <c r="AH33" s="19" t="s">
        <v>86</v>
      </c>
      <c r="AI33" s="1">
        <v>0</v>
      </c>
      <c r="AJ33" s="1" t="s">
        <v>19</v>
      </c>
      <c r="AK33" s="1" t="s">
        <v>16</v>
      </c>
      <c r="AL33" s="1">
        <v>4.4000000000000004</v>
      </c>
      <c r="AM33" s="1">
        <v>4.4000000000000004</v>
      </c>
      <c r="AN33" s="1">
        <v>3.9</v>
      </c>
      <c r="AO33" s="1">
        <v>18.7881</v>
      </c>
      <c r="AP33" s="20">
        <v>99.000299999999996</v>
      </c>
    </row>
    <row r="34" spans="1:42" ht="15.75">
      <c r="A34" s="11">
        <v>32</v>
      </c>
      <c r="B34" s="19" t="s">
        <v>87</v>
      </c>
      <c r="C34" s="11">
        <v>1</v>
      </c>
      <c r="D34" s="1">
        <v>0</v>
      </c>
      <c r="E34" s="1">
        <v>0</v>
      </c>
      <c r="F34" s="1">
        <v>0</v>
      </c>
      <c r="G34" s="12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1">
        <v>0</v>
      </c>
      <c r="N34" s="1">
        <v>1</v>
      </c>
      <c r="O34" s="1">
        <v>0</v>
      </c>
      <c r="P34" s="1">
        <v>1</v>
      </c>
      <c r="Q34" s="12">
        <v>0</v>
      </c>
      <c r="R34" s="1">
        <v>1</v>
      </c>
      <c r="S34" s="1">
        <v>0</v>
      </c>
      <c r="T34" s="1">
        <v>1</v>
      </c>
      <c r="U34" s="1">
        <v>0</v>
      </c>
      <c r="V34" s="1">
        <v>1</v>
      </c>
      <c r="W34" s="11">
        <v>0</v>
      </c>
      <c r="X34" s="1">
        <v>1</v>
      </c>
      <c r="Y34" s="1">
        <v>0</v>
      </c>
      <c r="Z34" s="1">
        <v>1</v>
      </c>
      <c r="AA34" s="12">
        <v>0</v>
      </c>
      <c r="AB34" s="1">
        <v>1</v>
      </c>
      <c r="AC34" s="1">
        <v>1</v>
      </c>
      <c r="AD34" s="1">
        <v>0</v>
      </c>
      <c r="AE34" s="1">
        <v>0</v>
      </c>
      <c r="AF34" s="1">
        <v>1</v>
      </c>
      <c r="AG34" s="22">
        <f t="shared" si="0"/>
        <v>12</v>
      </c>
      <c r="AH34" s="19" t="s">
        <v>88</v>
      </c>
      <c r="AI34" s="1">
        <v>0</v>
      </c>
      <c r="AJ34" s="1" t="s">
        <v>50</v>
      </c>
      <c r="AK34" s="1" t="s">
        <v>65</v>
      </c>
      <c r="AL34" s="1">
        <v>4.5</v>
      </c>
      <c r="AM34" s="1">
        <v>4.5</v>
      </c>
      <c r="AN34" s="1">
        <v>4.3</v>
      </c>
      <c r="AO34" s="1">
        <v>18.787500000000001</v>
      </c>
      <c r="AP34" s="12">
        <v>98.993499999999997</v>
      </c>
    </row>
    <row r="35" spans="1:42" ht="15.75">
      <c r="A35" s="11">
        <v>33</v>
      </c>
      <c r="B35" s="19" t="s">
        <v>89</v>
      </c>
      <c r="C35" s="11">
        <v>1</v>
      </c>
      <c r="D35" s="1">
        <v>0</v>
      </c>
      <c r="E35" s="1">
        <v>0</v>
      </c>
      <c r="F35" s="1">
        <v>0</v>
      </c>
      <c r="G35" s="12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1">
        <v>0</v>
      </c>
      <c r="N35" s="1">
        <v>1</v>
      </c>
      <c r="O35" s="1">
        <v>0</v>
      </c>
      <c r="P35" s="1">
        <v>1</v>
      </c>
      <c r="Q35" s="12">
        <v>0</v>
      </c>
      <c r="R35" s="1">
        <v>1</v>
      </c>
      <c r="S35" s="1">
        <v>0</v>
      </c>
      <c r="T35" s="1">
        <v>1</v>
      </c>
      <c r="U35" s="1">
        <v>0</v>
      </c>
      <c r="V35" s="1">
        <v>1</v>
      </c>
      <c r="W35" s="11">
        <v>0</v>
      </c>
      <c r="X35" s="1">
        <v>1</v>
      </c>
      <c r="Y35" s="1">
        <v>1</v>
      </c>
      <c r="Z35" s="1">
        <v>1</v>
      </c>
      <c r="AA35" s="12">
        <v>0</v>
      </c>
      <c r="AB35" s="1">
        <v>1</v>
      </c>
      <c r="AC35" s="1">
        <v>1</v>
      </c>
      <c r="AD35" s="1">
        <v>0</v>
      </c>
      <c r="AE35" s="1">
        <v>0</v>
      </c>
      <c r="AF35" s="1">
        <v>1</v>
      </c>
      <c r="AG35" s="22">
        <f t="shared" si="0"/>
        <v>13</v>
      </c>
      <c r="AH35" s="19" t="s">
        <v>90</v>
      </c>
      <c r="AI35" s="1">
        <v>0</v>
      </c>
      <c r="AJ35" s="1" t="s">
        <v>50</v>
      </c>
      <c r="AK35" s="1" t="s">
        <v>69</v>
      </c>
      <c r="AL35" s="1">
        <v>4.4000000000000004</v>
      </c>
      <c r="AM35" s="1">
        <v>4.5</v>
      </c>
      <c r="AN35" s="1">
        <v>4</v>
      </c>
      <c r="AO35" s="1">
        <v>18.781500000000001</v>
      </c>
      <c r="AP35" s="12">
        <v>98.987499999999997</v>
      </c>
    </row>
    <row r="36" spans="1:42" ht="15.75">
      <c r="A36" s="11">
        <v>34</v>
      </c>
      <c r="B36" s="19" t="s">
        <v>91</v>
      </c>
      <c r="C36" s="11">
        <v>1</v>
      </c>
      <c r="D36" s="1">
        <v>0</v>
      </c>
      <c r="E36" s="1">
        <v>0</v>
      </c>
      <c r="F36" s="1">
        <v>0</v>
      </c>
      <c r="G36" s="12">
        <v>1</v>
      </c>
      <c r="H36" s="1">
        <v>0</v>
      </c>
      <c r="I36" s="1">
        <v>1</v>
      </c>
      <c r="J36" s="1">
        <v>1</v>
      </c>
      <c r="K36" s="1">
        <v>1</v>
      </c>
      <c r="L36" s="1">
        <v>1</v>
      </c>
      <c r="M36" s="11">
        <v>0</v>
      </c>
      <c r="N36" s="1">
        <v>1</v>
      </c>
      <c r="O36" s="1">
        <v>0</v>
      </c>
      <c r="P36" s="1">
        <v>1</v>
      </c>
      <c r="Q36" s="12">
        <v>0</v>
      </c>
      <c r="R36" s="1">
        <v>1</v>
      </c>
      <c r="S36" s="1">
        <v>0</v>
      </c>
      <c r="T36" s="1">
        <v>1</v>
      </c>
      <c r="U36" s="1">
        <v>0</v>
      </c>
      <c r="V36" s="1">
        <v>0</v>
      </c>
      <c r="W36" s="11">
        <v>0</v>
      </c>
      <c r="X36" s="1">
        <v>1</v>
      </c>
      <c r="Y36" s="1">
        <v>0</v>
      </c>
      <c r="Z36" s="1">
        <v>1</v>
      </c>
      <c r="AA36" s="12">
        <v>0</v>
      </c>
      <c r="AB36" s="1">
        <v>1</v>
      </c>
      <c r="AC36" s="1">
        <v>1</v>
      </c>
      <c r="AD36" s="1">
        <v>0</v>
      </c>
      <c r="AE36" s="1">
        <v>0</v>
      </c>
      <c r="AF36" s="1">
        <v>1</v>
      </c>
      <c r="AG36" s="22">
        <f t="shared" si="0"/>
        <v>15</v>
      </c>
      <c r="AH36" s="19" t="s">
        <v>92</v>
      </c>
      <c r="AI36" s="1">
        <v>0</v>
      </c>
      <c r="AJ36" s="1" t="s">
        <v>19</v>
      </c>
      <c r="AK36" s="1" t="s">
        <v>26</v>
      </c>
      <c r="AL36" s="1">
        <v>4.4000000000000004</v>
      </c>
      <c r="AM36" s="1">
        <v>4.5999999999999996</v>
      </c>
      <c r="AN36" s="1"/>
      <c r="AO36" s="1">
        <v>18.7819</v>
      </c>
      <c r="AP36" s="20">
        <v>98.990700000000004</v>
      </c>
    </row>
    <row r="37" spans="1:42" ht="15.75">
      <c r="A37" s="11">
        <v>35</v>
      </c>
      <c r="B37" s="19" t="s">
        <v>93</v>
      </c>
      <c r="C37" s="11">
        <v>0</v>
      </c>
      <c r="D37" s="1">
        <v>1</v>
      </c>
      <c r="E37" s="1">
        <v>1</v>
      </c>
      <c r="F37" s="1">
        <v>1</v>
      </c>
      <c r="G37" s="12">
        <v>1</v>
      </c>
      <c r="H37" s="1">
        <v>0</v>
      </c>
      <c r="I37" s="1">
        <v>1</v>
      </c>
      <c r="J37" s="1">
        <v>1</v>
      </c>
      <c r="K37" s="1">
        <v>1</v>
      </c>
      <c r="L37" s="1">
        <v>1</v>
      </c>
      <c r="M37" s="11">
        <v>0</v>
      </c>
      <c r="N37" s="1">
        <v>1</v>
      </c>
      <c r="O37" s="1">
        <v>0</v>
      </c>
      <c r="P37" s="1">
        <v>1</v>
      </c>
      <c r="Q37" s="12">
        <v>0</v>
      </c>
      <c r="R37" s="1">
        <v>1</v>
      </c>
      <c r="S37" s="1">
        <v>0</v>
      </c>
      <c r="T37" s="1">
        <v>1</v>
      </c>
      <c r="U37" s="1">
        <v>1</v>
      </c>
      <c r="V37" s="1">
        <v>0</v>
      </c>
      <c r="W37" s="11">
        <v>0</v>
      </c>
      <c r="X37" s="1">
        <v>1</v>
      </c>
      <c r="Y37" s="1">
        <v>0</v>
      </c>
      <c r="Z37" s="1">
        <v>1</v>
      </c>
      <c r="AA37" s="12">
        <v>0</v>
      </c>
      <c r="AB37" s="1">
        <v>1</v>
      </c>
      <c r="AC37" s="1">
        <v>1</v>
      </c>
      <c r="AD37" s="1">
        <v>0</v>
      </c>
      <c r="AE37" s="1">
        <v>0</v>
      </c>
      <c r="AF37" s="1">
        <v>1</v>
      </c>
      <c r="AG37" s="22">
        <f t="shared" si="0"/>
        <v>18</v>
      </c>
      <c r="AH37" s="19" t="s">
        <v>94</v>
      </c>
      <c r="AI37" s="1">
        <v>0</v>
      </c>
      <c r="AJ37" s="1" t="s">
        <v>19</v>
      </c>
      <c r="AK37" s="1" t="s">
        <v>26</v>
      </c>
      <c r="AL37" s="1">
        <v>4.3</v>
      </c>
      <c r="AM37" s="1"/>
      <c r="AN37" s="1">
        <v>3.5</v>
      </c>
      <c r="AO37" s="1">
        <v>18.7879</v>
      </c>
      <c r="AP37" s="12">
        <v>99.000799999999998</v>
      </c>
    </row>
    <row r="38" spans="1:42" ht="15.75">
      <c r="A38" s="11">
        <v>36</v>
      </c>
      <c r="B38" s="19" t="s">
        <v>95</v>
      </c>
      <c r="C38" s="11">
        <v>0</v>
      </c>
      <c r="D38" s="1">
        <v>1</v>
      </c>
      <c r="E38" s="1">
        <v>1</v>
      </c>
      <c r="F38" s="1">
        <v>0</v>
      </c>
      <c r="G38" s="12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1">
        <v>0</v>
      </c>
      <c r="N38" s="1">
        <v>1</v>
      </c>
      <c r="O38" s="1">
        <v>1</v>
      </c>
      <c r="P38" s="1">
        <v>0</v>
      </c>
      <c r="Q38" s="12">
        <v>0</v>
      </c>
      <c r="R38" s="1">
        <v>1</v>
      </c>
      <c r="S38" s="1">
        <v>1</v>
      </c>
      <c r="T38" s="1">
        <v>1</v>
      </c>
      <c r="U38" s="1">
        <v>1</v>
      </c>
      <c r="V38" s="1">
        <v>0</v>
      </c>
      <c r="W38" s="11">
        <v>1</v>
      </c>
      <c r="X38" s="1">
        <v>1</v>
      </c>
      <c r="Y38" s="1">
        <v>1</v>
      </c>
      <c r="Z38" s="1">
        <v>1</v>
      </c>
      <c r="AA38" s="12">
        <v>1</v>
      </c>
      <c r="AB38" s="1">
        <v>1</v>
      </c>
      <c r="AC38" s="1">
        <v>1</v>
      </c>
      <c r="AD38" s="1">
        <v>0</v>
      </c>
      <c r="AE38" s="1">
        <v>0</v>
      </c>
      <c r="AF38" s="1">
        <v>1</v>
      </c>
      <c r="AG38" s="22">
        <f t="shared" si="0"/>
        <v>22</v>
      </c>
      <c r="AH38" s="19" t="s">
        <v>57</v>
      </c>
      <c r="AI38" s="1">
        <v>0</v>
      </c>
      <c r="AJ38" s="1" t="s">
        <v>15</v>
      </c>
      <c r="AK38" s="1" t="s">
        <v>96</v>
      </c>
      <c r="AL38" s="1">
        <v>4.5999999999999996</v>
      </c>
      <c r="AM38" s="1">
        <v>4.5999999999999996</v>
      </c>
      <c r="AN38" s="1">
        <v>3.4</v>
      </c>
      <c r="AO38" s="1">
        <v>18.698499999999999</v>
      </c>
      <c r="AP38" s="12">
        <v>98.893000000000001</v>
      </c>
    </row>
    <row r="39" spans="1:42" ht="15.75">
      <c r="A39" s="11">
        <v>37</v>
      </c>
      <c r="B39" s="19" t="s">
        <v>97</v>
      </c>
      <c r="C39" s="11">
        <v>0</v>
      </c>
      <c r="D39" s="1">
        <v>1</v>
      </c>
      <c r="E39" s="1">
        <v>1</v>
      </c>
      <c r="F39" s="1">
        <v>0</v>
      </c>
      <c r="G39" s="12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1">
        <v>1</v>
      </c>
      <c r="N39" s="1">
        <v>1</v>
      </c>
      <c r="O39" s="1">
        <v>1</v>
      </c>
      <c r="P39" s="1">
        <v>0</v>
      </c>
      <c r="Q39" s="12">
        <v>0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1">
        <v>0</v>
      </c>
      <c r="X39" s="1">
        <v>1</v>
      </c>
      <c r="Y39" s="1">
        <v>1</v>
      </c>
      <c r="Z39" s="1">
        <v>1</v>
      </c>
      <c r="AA39" s="12">
        <v>1</v>
      </c>
      <c r="AB39" s="1">
        <v>1</v>
      </c>
      <c r="AC39" s="1">
        <v>1</v>
      </c>
      <c r="AD39" s="1">
        <v>0</v>
      </c>
      <c r="AE39" s="1">
        <v>0</v>
      </c>
      <c r="AF39" s="1">
        <v>1</v>
      </c>
      <c r="AG39" s="22">
        <f t="shared" si="0"/>
        <v>23</v>
      </c>
      <c r="AH39" s="19" t="s">
        <v>60</v>
      </c>
      <c r="AI39" s="1">
        <v>0</v>
      </c>
      <c r="AJ39" s="1" t="s">
        <v>19</v>
      </c>
      <c r="AK39" s="1" t="s">
        <v>16</v>
      </c>
      <c r="AL39" s="1">
        <v>4.2</v>
      </c>
      <c r="AM39" s="1">
        <v>4.0999999999999996</v>
      </c>
      <c r="AN39" s="1">
        <v>4.2</v>
      </c>
      <c r="AO39" s="1">
        <v>18.760999999999999</v>
      </c>
      <c r="AP39" s="20">
        <v>99.116</v>
      </c>
    </row>
    <row r="40" spans="1:42" ht="15.75">
      <c r="A40" s="11">
        <v>38</v>
      </c>
      <c r="B40" s="19" t="s">
        <v>98</v>
      </c>
      <c r="C40" s="11">
        <v>0</v>
      </c>
      <c r="D40" s="1">
        <v>1</v>
      </c>
      <c r="E40" s="1">
        <v>1</v>
      </c>
      <c r="F40" s="1">
        <v>0</v>
      </c>
      <c r="G40" s="12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1">
        <v>1</v>
      </c>
      <c r="N40" s="1">
        <v>1</v>
      </c>
      <c r="O40" s="1">
        <v>1</v>
      </c>
      <c r="P40" s="1">
        <v>0</v>
      </c>
      <c r="Q40" s="12">
        <v>0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1">
        <v>0</v>
      </c>
      <c r="X40" s="1">
        <v>1</v>
      </c>
      <c r="Y40" s="1">
        <v>1</v>
      </c>
      <c r="Z40" s="1">
        <v>1</v>
      </c>
      <c r="AA40" s="12">
        <v>1</v>
      </c>
      <c r="AB40" s="1">
        <v>1</v>
      </c>
      <c r="AC40" s="1">
        <v>1</v>
      </c>
      <c r="AD40" s="1">
        <v>0</v>
      </c>
      <c r="AE40" s="1">
        <v>0</v>
      </c>
      <c r="AF40" s="1">
        <v>1</v>
      </c>
      <c r="AG40" s="22">
        <f t="shared" si="0"/>
        <v>23</v>
      </c>
      <c r="AH40" s="19" t="s">
        <v>99</v>
      </c>
      <c r="AI40" s="1">
        <v>0</v>
      </c>
      <c r="AJ40" s="1" t="s">
        <v>15</v>
      </c>
      <c r="AK40" s="1" t="s">
        <v>100</v>
      </c>
      <c r="AL40" s="1">
        <v>4</v>
      </c>
      <c r="AM40" s="1"/>
      <c r="AN40" s="1"/>
      <c r="AO40" s="1">
        <v>18.728999999999999</v>
      </c>
      <c r="AP40" s="12">
        <v>99.147000000000006</v>
      </c>
    </row>
    <row r="41" spans="1:42" ht="15.75">
      <c r="A41" s="11">
        <v>39</v>
      </c>
      <c r="B41" s="19" t="s">
        <v>101</v>
      </c>
      <c r="C41" s="1">
        <v>1</v>
      </c>
      <c r="D41" s="1">
        <v>1</v>
      </c>
      <c r="E41" s="1">
        <v>1</v>
      </c>
      <c r="F41" s="1">
        <v>1</v>
      </c>
      <c r="G41" s="12">
        <v>1</v>
      </c>
      <c r="H41" s="1">
        <v>1</v>
      </c>
      <c r="I41" s="1">
        <v>1</v>
      </c>
      <c r="J41" s="1">
        <v>0</v>
      </c>
      <c r="K41" s="1">
        <v>1</v>
      </c>
      <c r="L41" s="1">
        <v>1</v>
      </c>
      <c r="M41" s="11">
        <v>1</v>
      </c>
      <c r="N41" s="1">
        <v>1</v>
      </c>
      <c r="O41" s="1">
        <v>1</v>
      </c>
      <c r="P41" s="1">
        <v>1</v>
      </c>
      <c r="Q41" s="12">
        <v>1</v>
      </c>
      <c r="R41" s="1">
        <v>1</v>
      </c>
      <c r="S41" s="1">
        <v>1</v>
      </c>
      <c r="T41" s="1">
        <v>1</v>
      </c>
      <c r="U41" s="1">
        <v>1</v>
      </c>
      <c r="V41" s="12">
        <v>1</v>
      </c>
      <c r="W41" s="11">
        <v>0</v>
      </c>
      <c r="X41" s="1">
        <v>1</v>
      </c>
      <c r="Y41" s="1">
        <v>0</v>
      </c>
      <c r="Z41" s="1">
        <v>1</v>
      </c>
      <c r="AA41" s="12">
        <v>0</v>
      </c>
      <c r="AB41" s="1">
        <v>1</v>
      </c>
      <c r="AC41" s="1">
        <v>1</v>
      </c>
      <c r="AD41" s="1">
        <v>0</v>
      </c>
      <c r="AE41" s="1">
        <v>0</v>
      </c>
      <c r="AF41" s="1">
        <v>1</v>
      </c>
      <c r="AG41" s="22">
        <f t="shared" si="0"/>
        <v>24</v>
      </c>
      <c r="AH41" s="19" t="s">
        <v>102</v>
      </c>
      <c r="AI41" s="1">
        <v>0</v>
      </c>
      <c r="AJ41" s="1" t="s">
        <v>15</v>
      </c>
      <c r="AK41" s="1" t="s">
        <v>16</v>
      </c>
      <c r="AL41" s="1">
        <v>4.5</v>
      </c>
      <c r="AM41" s="1">
        <v>4.8</v>
      </c>
      <c r="AN41" s="1">
        <v>4.0999999999999996</v>
      </c>
      <c r="AO41" s="1">
        <v>18.8004</v>
      </c>
      <c r="AP41" s="12">
        <v>98.9679</v>
      </c>
    </row>
    <row r="42" spans="1:42" ht="15.75">
      <c r="A42" s="11">
        <v>40</v>
      </c>
      <c r="B42" s="19" t="s">
        <v>103</v>
      </c>
      <c r="C42" s="1">
        <v>1</v>
      </c>
      <c r="D42" s="1">
        <v>1</v>
      </c>
      <c r="E42" s="1">
        <v>1</v>
      </c>
      <c r="F42" s="1">
        <v>1</v>
      </c>
      <c r="G42" s="12">
        <v>1</v>
      </c>
      <c r="H42" s="1">
        <v>1</v>
      </c>
      <c r="I42" s="1">
        <v>1</v>
      </c>
      <c r="J42" s="1">
        <v>1</v>
      </c>
      <c r="K42" s="1">
        <v>1</v>
      </c>
      <c r="L42" s="12">
        <v>1</v>
      </c>
      <c r="M42" s="1">
        <v>1</v>
      </c>
      <c r="N42" s="1">
        <v>1</v>
      </c>
      <c r="O42" s="1">
        <v>1</v>
      </c>
      <c r="P42" s="1">
        <v>1</v>
      </c>
      <c r="Q42" s="12">
        <v>1</v>
      </c>
      <c r="R42" s="1">
        <v>1</v>
      </c>
      <c r="S42" s="1">
        <v>1</v>
      </c>
      <c r="T42" s="1">
        <v>1</v>
      </c>
      <c r="U42" s="1">
        <v>1</v>
      </c>
      <c r="V42" s="12">
        <v>1</v>
      </c>
      <c r="W42" s="11">
        <v>0</v>
      </c>
      <c r="X42" s="1">
        <v>1</v>
      </c>
      <c r="Y42" s="1">
        <v>0</v>
      </c>
      <c r="Z42" s="1">
        <v>1</v>
      </c>
      <c r="AA42" s="12">
        <v>0</v>
      </c>
      <c r="AB42" s="1">
        <v>1</v>
      </c>
      <c r="AC42" s="1">
        <v>1</v>
      </c>
      <c r="AD42" s="1">
        <v>0</v>
      </c>
      <c r="AE42" s="1">
        <v>0</v>
      </c>
      <c r="AF42" s="1">
        <v>1</v>
      </c>
      <c r="AG42" s="22">
        <f t="shared" si="0"/>
        <v>25</v>
      </c>
      <c r="AH42" s="19" t="s">
        <v>104</v>
      </c>
      <c r="AI42" s="1">
        <v>0</v>
      </c>
      <c r="AJ42" s="1" t="s">
        <v>15</v>
      </c>
      <c r="AK42" s="1" t="s">
        <v>105</v>
      </c>
      <c r="AL42" s="1">
        <v>4.5</v>
      </c>
      <c r="AM42" s="1">
        <v>4.7</v>
      </c>
      <c r="AN42" s="1">
        <v>3.9</v>
      </c>
      <c r="AO42" s="1">
        <v>18.805</v>
      </c>
      <c r="AP42" s="20">
        <v>98.99</v>
      </c>
    </row>
    <row r="43" spans="1:42" ht="15.75">
      <c r="A43" s="11">
        <v>41</v>
      </c>
      <c r="B43" s="19" t="s">
        <v>106</v>
      </c>
      <c r="C43" s="1">
        <v>1</v>
      </c>
      <c r="D43" s="1">
        <v>1</v>
      </c>
      <c r="E43" s="1">
        <v>1</v>
      </c>
      <c r="F43" s="1">
        <v>1</v>
      </c>
      <c r="G43" s="12">
        <v>1</v>
      </c>
      <c r="H43" s="1">
        <v>1</v>
      </c>
      <c r="I43" s="1">
        <v>1</v>
      </c>
      <c r="J43" s="1">
        <v>1</v>
      </c>
      <c r="K43" s="1">
        <v>1</v>
      </c>
      <c r="L43" s="12">
        <v>1</v>
      </c>
      <c r="M43" s="1">
        <v>1</v>
      </c>
      <c r="N43" s="1">
        <v>1</v>
      </c>
      <c r="O43" s="1">
        <v>1</v>
      </c>
      <c r="P43" s="1">
        <v>0</v>
      </c>
      <c r="Q43" s="12">
        <v>1</v>
      </c>
      <c r="R43" s="1">
        <v>0</v>
      </c>
      <c r="S43" s="1">
        <v>1</v>
      </c>
      <c r="T43" s="1">
        <v>1</v>
      </c>
      <c r="U43" s="1">
        <v>1</v>
      </c>
      <c r="V43" s="1">
        <v>1</v>
      </c>
      <c r="W43" s="11">
        <v>0</v>
      </c>
      <c r="X43" s="1">
        <v>1</v>
      </c>
      <c r="Y43" s="1">
        <v>1</v>
      </c>
      <c r="Z43" s="1">
        <v>1</v>
      </c>
      <c r="AA43" s="12">
        <v>1</v>
      </c>
      <c r="AB43" s="1">
        <v>1</v>
      </c>
      <c r="AC43" s="1">
        <v>1</v>
      </c>
      <c r="AD43" s="1">
        <v>1</v>
      </c>
      <c r="AE43" s="1">
        <v>1</v>
      </c>
      <c r="AF43" s="12">
        <v>1</v>
      </c>
      <c r="AG43" s="22">
        <f t="shared" si="0"/>
        <v>27</v>
      </c>
      <c r="AH43" s="19" t="s">
        <v>36</v>
      </c>
      <c r="AI43" s="1">
        <v>70</v>
      </c>
      <c r="AJ43" s="1" t="s">
        <v>50</v>
      </c>
      <c r="AK43" s="1" t="s">
        <v>65</v>
      </c>
      <c r="AL43" s="1">
        <v>4.5</v>
      </c>
      <c r="AM43" s="1">
        <v>4.5999999999999996</v>
      </c>
      <c r="AN43" s="1">
        <v>4.2</v>
      </c>
      <c r="AO43" s="1">
        <v>18.741599999999998</v>
      </c>
      <c r="AP43" s="12">
        <v>98.924499999999995</v>
      </c>
    </row>
    <row r="44" spans="1:42" ht="15.75">
      <c r="A44" s="11">
        <v>42</v>
      </c>
      <c r="B44" s="19" t="s">
        <v>107</v>
      </c>
      <c r="C44" s="11">
        <v>0</v>
      </c>
      <c r="D44" s="1">
        <v>1</v>
      </c>
      <c r="E44" s="1">
        <v>1</v>
      </c>
      <c r="F44" s="1">
        <v>0</v>
      </c>
      <c r="G44" s="12">
        <v>1</v>
      </c>
      <c r="H44" s="1">
        <v>1</v>
      </c>
      <c r="I44" s="1">
        <v>1</v>
      </c>
      <c r="J44" s="1">
        <v>1</v>
      </c>
      <c r="K44" s="1">
        <v>1</v>
      </c>
      <c r="L44" s="12">
        <v>1</v>
      </c>
      <c r="M44" s="11">
        <v>0</v>
      </c>
      <c r="N44" s="1">
        <v>1</v>
      </c>
      <c r="O44" s="1">
        <v>0</v>
      </c>
      <c r="P44" s="1">
        <v>0</v>
      </c>
      <c r="Q44" s="12">
        <v>0</v>
      </c>
      <c r="R44" s="1">
        <v>1</v>
      </c>
      <c r="S44" s="1">
        <v>1</v>
      </c>
      <c r="T44" s="1">
        <v>1</v>
      </c>
      <c r="U44" s="1">
        <v>1</v>
      </c>
      <c r="V44" s="1">
        <v>0</v>
      </c>
      <c r="W44" s="11">
        <v>0</v>
      </c>
      <c r="X44" s="1">
        <v>1</v>
      </c>
      <c r="Y44" s="1">
        <v>0</v>
      </c>
      <c r="Z44" s="1">
        <v>1</v>
      </c>
      <c r="AA44" s="12">
        <v>0</v>
      </c>
      <c r="AB44" s="1">
        <v>1</v>
      </c>
      <c r="AC44" s="1">
        <v>1</v>
      </c>
      <c r="AD44" s="1">
        <v>1</v>
      </c>
      <c r="AE44" s="1">
        <v>1</v>
      </c>
      <c r="AF44" s="12">
        <v>1</v>
      </c>
      <c r="AG44" s="22">
        <f t="shared" si="0"/>
        <v>20</v>
      </c>
      <c r="AH44" s="19" t="s">
        <v>108</v>
      </c>
      <c r="AI44" s="1">
        <v>20</v>
      </c>
      <c r="AJ44" s="1" t="s">
        <v>50</v>
      </c>
      <c r="AK44" s="1" t="s">
        <v>69</v>
      </c>
      <c r="AL44" s="1">
        <v>4.4000000000000004</v>
      </c>
      <c r="AM44" s="1">
        <v>4.8</v>
      </c>
      <c r="AN44" s="1">
        <v>4</v>
      </c>
      <c r="AO44" s="1">
        <v>18.859000000000002</v>
      </c>
      <c r="AP44" s="12">
        <v>98.938000000000002</v>
      </c>
    </row>
    <row r="45" spans="1:42" ht="15.75">
      <c r="A45" s="11">
        <v>43</v>
      </c>
      <c r="B45" s="19" t="s">
        <v>109</v>
      </c>
      <c r="C45" s="11">
        <v>0</v>
      </c>
      <c r="D45" s="1">
        <v>1</v>
      </c>
      <c r="E45" s="1">
        <v>1</v>
      </c>
      <c r="F45" s="1">
        <v>0</v>
      </c>
      <c r="G45" s="12">
        <v>1</v>
      </c>
      <c r="H45" s="1">
        <v>1</v>
      </c>
      <c r="I45" s="1">
        <v>1</v>
      </c>
      <c r="J45" s="1">
        <v>1</v>
      </c>
      <c r="K45" s="1">
        <v>1</v>
      </c>
      <c r="L45" s="12">
        <v>1</v>
      </c>
      <c r="M45" s="11">
        <v>0</v>
      </c>
      <c r="N45" s="1">
        <v>1</v>
      </c>
      <c r="O45" s="1">
        <v>1</v>
      </c>
      <c r="P45" s="1">
        <v>0</v>
      </c>
      <c r="Q45" s="12">
        <v>0</v>
      </c>
      <c r="R45" s="1">
        <v>0</v>
      </c>
      <c r="S45" s="1">
        <v>1</v>
      </c>
      <c r="T45" s="1">
        <v>0</v>
      </c>
      <c r="U45" s="1">
        <v>1</v>
      </c>
      <c r="V45" s="1">
        <v>0</v>
      </c>
      <c r="W45" s="11">
        <v>1</v>
      </c>
      <c r="X45" s="1">
        <v>1</v>
      </c>
      <c r="Y45" s="1">
        <v>0</v>
      </c>
      <c r="Z45" s="1">
        <v>1</v>
      </c>
      <c r="AA45" s="12">
        <v>1</v>
      </c>
      <c r="AB45" s="1">
        <v>1</v>
      </c>
      <c r="AC45" s="1">
        <v>1</v>
      </c>
      <c r="AD45" s="1">
        <v>1</v>
      </c>
      <c r="AE45" s="1">
        <v>1</v>
      </c>
      <c r="AF45" s="12">
        <v>1</v>
      </c>
      <c r="AG45" s="22">
        <f t="shared" si="0"/>
        <v>21</v>
      </c>
      <c r="AH45" s="19" t="s">
        <v>110</v>
      </c>
      <c r="AI45" s="1">
        <v>0</v>
      </c>
      <c r="AJ45" s="1" t="s">
        <v>64</v>
      </c>
      <c r="AK45" s="1" t="s">
        <v>62</v>
      </c>
      <c r="AL45" s="1">
        <v>4.5</v>
      </c>
      <c r="AM45" s="1">
        <v>4.7</v>
      </c>
      <c r="AN45" s="1"/>
      <c r="AO45" s="1">
        <v>18.805800000000001</v>
      </c>
      <c r="AP45" s="20">
        <v>98.921499999999995</v>
      </c>
    </row>
    <row r="46" spans="1:42" ht="15.75">
      <c r="A46" s="11">
        <v>44</v>
      </c>
      <c r="B46" s="19" t="s">
        <v>111</v>
      </c>
      <c r="C46" s="11">
        <v>0</v>
      </c>
      <c r="D46" s="1">
        <v>1</v>
      </c>
      <c r="E46" s="1">
        <v>1</v>
      </c>
      <c r="F46" s="1">
        <v>0</v>
      </c>
      <c r="G46" s="12">
        <v>1</v>
      </c>
      <c r="H46" s="1">
        <v>0</v>
      </c>
      <c r="I46" s="1">
        <v>0</v>
      </c>
      <c r="J46" s="1">
        <v>1</v>
      </c>
      <c r="K46" s="1">
        <v>1</v>
      </c>
      <c r="L46" s="1">
        <v>1</v>
      </c>
      <c r="M46" s="11">
        <v>0</v>
      </c>
      <c r="N46" s="1">
        <v>0</v>
      </c>
      <c r="O46" s="1">
        <v>0</v>
      </c>
      <c r="P46" s="1">
        <v>0</v>
      </c>
      <c r="Q46" s="12">
        <v>0</v>
      </c>
      <c r="R46" s="11">
        <v>0</v>
      </c>
      <c r="S46" s="1">
        <v>0</v>
      </c>
      <c r="T46" s="1">
        <v>0</v>
      </c>
      <c r="U46" s="1">
        <v>1</v>
      </c>
      <c r="V46" s="12">
        <v>0</v>
      </c>
      <c r="W46" s="11">
        <v>1</v>
      </c>
      <c r="X46" s="1">
        <v>0</v>
      </c>
      <c r="Y46" s="1">
        <v>0</v>
      </c>
      <c r="Z46" s="1">
        <v>0</v>
      </c>
      <c r="AA46" s="12">
        <v>0</v>
      </c>
      <c r="AB46" s="1">
        <v>1</v>
      </c>
      <c r="AC46" s="1">
        <v>1</v>
      </c>
      <c r="AD46" s="1">
        <v>1</v>
      </c>
      <c r="AE46" s="1">
        <v>1</v>
      </c>
      <c r="AF46" s="12">
        <v>0</v>
      </c>
      <c r="AG46" s="22">
        <f t="shared" si="0"/>
        <v>12</v>
      </c>
      <c r="AH46" s="19" t="s">
        <v>112</v>
      </c>
      <c r="AI46" s="1">
        <v>0</v>
      </c>
      <c r="AJ46" s="1" t="s">
        <v>50</v>
      </c>
      <c r="AK46" s="1" t="s">
        <v>65</v>
      </c>
      <c r="AL46" s="1">
        <v>4.7</v>
      </c>
      <c r="AM46" s="1"/>
      <c r="AN46" s="1"/>
      <c r="AO46" s="1">
        <v>18.63</v>
      </c>
      <c r="AP46" s="12">
        <v>98.822999999999993</v>
      </c>
    </row>
    <row r="47" spans="1:42" ht="15.75">
      <c r="A47" s="11">
        <v>45</v>
      </c>
      <c r="B47" s="19" t="s">
        <v>113</v>
      </c>
      <c r="C47" s="11">
        <v>1</v>
      </c>
      <c r="D47" s="1">
        <v>1</v>
      </c>
      <c r="E47" s="1">
        <v>1</v>
      </c>
      <c r="F47" s="1">
        <v>0</v>
      </c>
      <c r="G47" s="12">
        <v>0</v>
      </c>
      <c r="H47" s="1">
        <v>1</v>
      </c>
      <c r="I47" s="1">
        <v>1</v>
      </c>
      <c r="J47" s="1">
        <v>1</v>
      </c>
      <c r="K47" s="1">
        <v>1</v>
      </c>
      <c r="L47" s="12">
        <v>1</v>
      </c>
      <c r="M47" s="11">
        <v>0</v>
      </c>
      <c r="N47" s="1">
        <v>0</v>
      </c>
      <c r="O47" s="1">
        <v>1</v>
      </c>
      <c r="P47" s="1">
        <v>0</v>
      </c>
      <c r="Q47" s="12">
        <v>0</v>
      </c>
      <c r="R47" s="1">
        <v>1</v>
      </c>
      <c r="S47" s="1">
        <v>1</v>
      </c>
      <c r="T47" s="1">
        <v>0</v>
      </c>
      <c r="U47" s="1">
        <v>1</v>
      </c>
      <c r="V47" s="1">
        <v>0</v>
      </c>
      <c r="W47" s="11">
        <v>1</v>
      </c>
      <c r="X47" s="1">
        <v>0</v>
      </c>
      <c r="Y47" s="1">
        <v>0</v>
      </c>
      <c r="Z47" s="1">
        <v>0</v>
      </c>
      <c r="AA47" s="12">
        <v>1</v>
      </c>
      <c r="AB47" s="1">
        <v>1</v>
      </c>
      <c r="AC47" s="1">
        <v>1</v>
      </c>
      <c r="AD47" s="1">
        <v>1</v>
      </c>
      <c r="AE47" s="1">
        <v>1</v>
      </c>
      <c r="AF47" s="12">
        <v>0</v>
      </c>
      <c r="AG47" s="22">
        <f t="shared" si="0"/>
        <v>18</v>
      </c>
      <c r="AH47" s="19" t="s">
        <v>114</v>
      </c>
      <c r="AI47" s="1">
        <v>50</v>
      </c>
      <c r="AJ47" s="1" t="s">
        <v>19</v>
      </c>
      <c r="AK47" s="1" t="s">
        <v>82</v>
      </c>
      <c r="AL47" s="1">
        <v>4.5</v>
      </c>
      <c r="AM47" s="1">
        <v>4.7</v>
      </c>
      <c r="AN47" s="1">
        <v>4.2</v>
      </c>
      <c r="AO47" s="1">
        <v>18.588899999999999</v>
      </c>
      <c r="AP47" s="12">
        <v>98.480999999999995</v>
      </c>
    </row>
    <row r="48" spans="1:42" ht="15.75">
      <c r="A48" s="11">
        <v>46</v>
      </c>
      <c r="B48" s="19" t="s">
        <v>115</v>
      </c>
      <c r="C48" s="11">
        <v>1</v>
      </c>
      <c r="D48" s="1">
        <v>1</v>
      </c>
      <c r="E48" s="1">
        <v>1</v>
      </c>
      <c r="F48" s="1">
        <v>0</v>
      </c>
      <c r="G48" s="12">
        <v>1</v>
      </c>
      <c r="H48" s="1">
        <v>1</v>
      </c>
      <c r="I48" s="1">
        <v>1</v>
      </c>
      <c r="J48" s="1">
        <v>1</v>
      </c>
      <c r="K48" s="1">
        <v>1</v>
      </c>
      <c r="L48" s="12">
        <v>1</v>
      </c>
      <c r="M48" s="11">
        <v>0</v>
      </c>
      <c r="N48" s="1">
        <v>1</v>
      </c>
      <c r="O48" s="1">
        <v>1</v>
      </c>
      <c r="P48" s="1">
        <v>0</v>
      </c>
      <c r="Q48" s="12">
        <v>0</v>
      </c>
      <c r="R48" s="1">
        <v>1</v>
      </c>
      <c r="S48" s="1">
        <v>1</v>
      </c>
      <c r="T48" s="1">
        <v>0</v>
      </c>
      <c r="U48" s="1">
        <v>1</v>
      </c>
      <c r="V48" s="1">
        <v>1</v>
      </c>
      <c r="W48" s="11">
        <v>1</v>
      </c>
      <c r="X48" s="1">
        <v>0</v>
      </c>
      <c r="Y48" s="1">
        <v>0</v>
      </c>
      <c r="Z48" s="1">
        <v>1</v>
      </c>
      <c r="AA48" s="12">
        <v>1</v>
      </c>
      <c r="AB48" s="1">
        <v>1</v>
      </c>
      <c r="AC48" s="1">
        <v>1</v>
      </c>
      <c r="AD48" s="1">
        <v>1</v>
      </c>
      <c r="AE48" s="1">
        <v>0</v>
      </c>
      <c r="AF48" s="12">
        <v>1</v>
      </c>
      <c r="AG48" s="22">
        <f t="shared" si="0"/>
        <v>22</v>
      </c>
      <c r="AH48" s="19" t="s">
        <v>116</v>
      </c>
      <c r="AI48" s="1">
        <v>20</v>
      </c>
      <c r="AJ48" s="1" t="s">
        <v>15</v>
      </c>
      <c r="AK48" s="1" t="s">
        <v>82</v>
      </c>
      <c r="AL48" s="1">
        <v>4.3</v>
      </c>
      <c r="AM48" s="1">
        <v>4.3</v>
      </c>
      <c r="AN48" s="1">
        <v>4.3</v>
      </c>
      <c r="AO48" s="1">
        <v>18.823499999999999</v>
      </c>
      <c r="AP48" s="20">
        <v>98.921800000000005</v>
      </c>
    </row>
    <row r="49" spans="1:42" ht="15.75">
      <c r="A49" s="11">
        <v>47</v>
      </c>
      <c r="B49" s="19" t="s">
        <v>117</v>
      </c>
      <c r="C49" s="11">
        <v>0</v>
      </c>
      <c r="D49" s="1">
        <v>1</v>
      </c>
      <c r="E49" s="1">
        <v>1</v>
      </c>
      <c r="F49" s="1">
        <v>0</v>
      </c>
      <c r="G49" s="12">
        <v>0</v>
      </c>
      <c r="H49" s="1">
        <v>0</v>
      </c>
      <c r="I49" s="1">
        <v>0</v>
      </c>
      <c r="J49" s="1">
        <v>1</v>
      </c>
      <c r="K49" s="1">
        <v>1</v>
      </c>
      <c r="L49" s="1">
        <v>1</v>
      </c>
      <c r="M49" s="11">
        <v>0</v>
      </c>
      <c r="N49" s="1">
        <v>0</v>
      </c>
      <c r="O49" s="1">
        <v>0</v>
      </c>
      <c r="P49" s="1">
        <v>0</v>
      </c>
      <c r="Q49" s="12">
        <v>0</v>
      </c>
      <c r="R49" s="11">
        <v>0</v>
      </c>
      <c r="S49" s="1">
        <v>0</v>
      </c>
      <c r="T49" s="1">
        <v>0</v>
      </c>
      <c r="U49" s="1">
        <v>1</v>
      </c>
      <c r="V49" s="12">
        <v>0</v>
      </c>
      <c r="W49" s="11">
        <v>0</v>
      </c>
      <c r="X49" s="1">
        <v>0</v>
      </c>
      <c r="Y49" s="1">
        <v>0</v>
      </c>
      <c r="Z49" s="1">
        <v>0</v>
      </c>
      <c r="AA49" s="12">
        <v>0</v>
      </c>
      <c r="AB49" s="1">
        <v>1</v>
      </c>
      <c r="AC49" s="1">
        <v>1</v>
      </c>
      <c r="AD49" s="1">
        <v>1</v>
      </c>
      <c r="AE49" s="1">
        <v>0</v>
      </c>
      <c r="AF49" s="12">
        <v>0</v>
      </c>
      <c r="AG49" s="22">
        <f t="shared" si="0"/>
        <v>9</v>
      </c>
      <c r="AH49" s="19" t="s">
        <v>28</v>
      </c>
      <c r="AI49" s="1">
        <v>0</v>
      </c>
      <c r="AJ49" s="1" t="s">
        <v>19</v>
      </c>
      <c r="AK49" s="1" t="s">
        <v>118</v>
      </c>
      <c r="AL49" s="1">
        <v>4.3</v>
      </c>
      <c r="AM49" s="1">
        <v>4.7</v>
      </c>
      <c r="AN49" s="1">
        <v>3.3</v>
      </c>
      <c r="AO49" s="1">
        <v>18.805</v>
      </c>
      <c r="AP49" s="12">
        <v>98.944000000000003</v>
      </c>
    </row>
    <row r="50" spans="1:42" ht="15.75">
      <c r="A50" s="11">
        <v>48</v>
      </c>
      <c r="B50" s="19" t="s">
        <v>119</v>
      </c>
      <c r="C50" s="11">
        <v>0</v>
      </c>
      <c r="D50" s="1">
        <v>1</v>
      </c>
      <c r="E50" s="1">
        <v>1</v>
      </c>
      <c r="F50" s="1">
        <v>0</v>
      </c>
      <c r="G50" s="12">
        <v>1</v>
      </c>
      <c r="H50" s="1">
        <v>0</v>
      </c>
      <c r="I50" s="1">
        <v>0</v>
      </c>
      <c r="J50" s="1">
        <v>1</v>
      </c>
      <c r="K50" s="1">
        <v>1</v>
      </c>
      <c r="L50" s="1">
        <v>1</v>
      </c>
      <c r="M50" s="11">
        <v>0</v>
      </c>
      <c r="N50" s="1">
        <v>0</v>
      </c>
      <c r="O50" s="1">
        <v>1</v>
      </c>
      <c r="P50" s="1">
        <v>0</v>
      </c>
      <c r="Q50" s="12">
        <v>0</v>
      </c>
      <c r="R50" s="1">
        <v>0</v>
      </c>
      <c r="S50" s="1">
        <v>1</v>
      </c>
      <c r="T50" s="1">
        <v>0</v>
      </c>
      <c r="U50" s="1">
        <v>1</v>
      </c>
      <c r="V50" s="1">
        <v>0</v>
      </c>
      <c r="W50" s="11">
        <v>1</v>
      </c>
      <c r="X50" s="1">
        <v>0</v>
      </c>
      <c r="Y50" s="1">
        <v>0</v>
      </c>
      <c r="Z50" s="1">
        <v>0</v>
      </c>
      <c r="AA50" s="12">
        <v>0</v>
      </c>
      <c r="AB50" s="1">
        <v>1</v>
      </c>
      <c r="AC50" s="1">
        <v>1</v>
      </c>
      <c r="AD50" s="1">
        <v>1</v>
      </c>
      <c r="AE50" s="1">
        <v>0</v>
      </c>
      <c r="AF50" s="12">
        <v>0</v>
      </c>
      <c r="AG50" s="22">
        <f t="shared" si="0"/>
        <v>13</v>
      </c>
      <c r="AH50" s="19" t="s">
        <v>60</v>
      </c>
      <c r="AI50" s="1">
        <v>0</v>
      </c>
      <c r="AJ50" s="1" t="s">
        <v>50</v>
      </c>
      <c r="AK50" s="1" t="s">
        <v>82</v>
      </c>
      <c r="AL50" s="1">
        <v>4.7</v>
      </c>
      <c r="AM50" s="1">
        <v>4.8</v>
      </c>
      <c r="AN50" s="1">
        <v>4</v>
      </c>
      <c r="AO50" s="1">
        <v>19.046900000000001</v>
      </c>
      <c r="AP50" s="12">
        <v>99.007999999999996</v>
      </c>
    </row>
    <row r="51" spans="1:42" ht="15.75">
      <c r="A51" s="11">
        <v>49</v>
      </c>
      <c r="B51" s="19" t="s">
        <v>120</v>
      </c>
      <c r="C51" s="11">
        <v>0</v>
      </c>
      <c r="D51" s="1">
        <v>1</v>
      </c>
      <c r="E51" s="1">
        <v>1</v>
      </c>
      <c r="F51" s="1">
        <v>0</v>
      </c>
      <c r="G51" s="12">
        <v>1</v>
      </c>
      <c r="H51" s="1">
        <v>0</v>
      </c>
      <c r="I51" s="1">
        <v>0</v>
      </c>
      <c r="J51" s="1">
        <v>1</v>
      </c>
      <c r="K51" s="1">
        <v>1</v>
      </c>
      <c r="L51" s="1">
        <v>1</v>
      </c>
      <c r="M51" s="11">
        <v>0</v>
      </c>
      <c r="N51" s="1">
        <v>0</v>
      </c>
      <c r="O51" s="1">
        <v>1</v>
      </c>
      <c r="P51" s="1">
        <v>0</v>
      </c>
      <c r="Q51" s="12">
        <v>0</v>
      </c>
      <c r="R51" s="1">
        <v>0</v>
      </c>
      <c r="S51" s="1">
        <v>0</v>
      </c>
      <c r="T51" s="1">
        <v>0</v>
      </c>
      <c r="U51" s="1">
        <v>1</v>
      </c>
      <c r="V51" s="1">
        <v>0</v>
      </c>
      <c r="W51" s="11">
        <v>1</v>
      </c>
      <c r="X51" s="1">
        <v>0</v>
      </c>
      <c r="Y51" s="1">
        <v>0</v>
      </c>
      <c r="Z51" s="1">
        <v>0</v>
      </c>
      <c r="AA51" s="12">
        <v>0</v>
      </c>
      <c r="AB51" s="1">
        <v>1</v>
      </c>
      <c r="AC51" s="1">
        <v>1</v>
      </c>
      <c r="AD51" s="1">
        <v>1</v>
      </c>
      <c r="AE51" s="1">
        <v>0</v>
      </c>
      <c r="AF51" s="12">
        <v>0</v>
      </c>
      <c r="AG51" s="22">
        <f t="shared" si="0"/>
        <v>12</v>
      </c>
      <c r="AH51" s="19" t="s">
        <v>121</v>
      </c>
      <c r="AI51" s="1">
        <v>20</v>
      </c>
      <c r="AJ51" s="1" t="s">
        <v>50</v>
      </c>
      <c r="AK51" s="1" t="s">
        <v>65</v>
      </c>
      <c r="AL51" s="1">
        <v>4.4000000000000004</v>
      </c>
      <c r="AM51" s="1">
        <v>4.8</v>
      </c>
      <c r="AN51" s="1">
        <v>3.8</v>
      </c>
      <c r="AO51" s="1">
        <v>18.890999999999998</v>
      </c>
      <c r="AP51" s="20">
        <v>98.891000000000005</v>
      </c>
    </row>
    <row r="52" spans="1:42" ht="15.75">
      <c r="A52" s="13">
        <v>50</v>
      </c>
      <c r="B52" s="21" t="s">
        <v>122</v>
      </c>
      <c r="C52" s="13">
        <v>0</v>
      </c>
      <c r="D52" s="14">
        <v>1</v>
      </c>
      <c r="E52" s="14">
        <v>1</v>
      </c>
      <c r="F52" s="14">
        <v>0</v>
      </c>
      <c r="G52" s="15">
        <v>1</v>
      </c>
      <c r="H52" s="14">
        <v>1</v>
      </c>
      <c r="I52" s="14">
        <v>1</v>
      </c>
      <c r="J52" s="14">
        <v>1</v>
      </c>
      <c r="K52" s="14">
        <v>1</v>
      </c>
      <c r="L52" s="14">
        <v>1</v>
      </c>
      <c r="M52" s="13">
        <v>0</v>
      </c>
      <c r="N52" s="14">
        <v>0</v>
      </c>
      <c r="O52" s="14">
        <v>1</v>
      </c>
      <c r="P52" s="14">
        <v>0</v>
      </c>
      <c r="Q52" s="15">
        <v>0</v>
      </c>
      <c r="R52" s="14">
        <v>0</v>
      </c>
      <c r="S52" s="14">
        <v>1</v>
      </c>
      <c r="T52" s="14">
        <v>0</v>
      </c>
      <c r="U52" s="14">
        <v>1</v>
      </c>
      <c r="V52" s="14">
        <v>0</v>
      </c>
      <c r="W52" s="13">
        <v>1</v>
      </c>
      <c r="X52" s="14">
        <v>1</v>
      </c>
      <c r="Y52" s="14">
        <v>1</v>
      </c>
      <c r="Z52" s="14">
        <v>1</v>
      </c>
      <c r="AA52" s="15">
        <v>1</v>
      </c>
      <c r="AB52" s="13">
        <v>1</v>
      </c>
      <c r="AC52" s="14">
        <v>1</v>
      </c>
      <c r="AD52" s="14">
        <v>1</v>
      </c>
      <c r="AE52" s="14">
        <v>1</v>
      </c>
      <c r="AF52" s="15">
        <v>1</v>
      </c>
      <c r="AG52" s="23">
        <f t="shared" si="0"/>
        <v>21</v>
      </c>
      <c r="AH52" s="21" t="s">
        <v>28</v>
      </c>
      <c r="AI52" s="14">
        <v>0</v>
      </c>
      <c r="AJ52" s="14" t="s">
        <v>64</v>
      </c>
      <c r="AK52" s="14" t="s">
        <v>62</v>
      </c>
      <c r="AL52" s="14">
        <v>4.5</v>
      </c>
      <c r="AM52" s="14">
        <v>4.8</v>
      </c>
      <c r="AN52" s="14"/>
      <c r="AO52" s="14">
        <v>18.864999999999998</v>
      </c>
      <c r="AP52" s="15">
        <v>99.343000000000004</v>
      </c>
    </row>
  </sheetData>
  <mergeCells count="18">
    <mergeCell ref="A1:A2"/>
    <mergeCell ref="AH1:AH2"/>
    <mergeCell ref="AI1:AI2"/>
    <mergeCell ref="AL1:AL2"/>
    <mergeCell ref="AJ1:AJ2"/>
    <mergeCell ref="AK1:AK2"/>
    <mergeCell ref="C1:G1"/>
    <mergeCell ref="H1:L1"/>
    <mergeCell ref="M1:Q1"/>
    <mergeCell ref="R1:V1"/>
    <mergeCell ref="W1:AA1"/>
    <mergeCell ref="AB1:AF1"/>
    <mergeCell ref="AG1:AG2"/>
    <mergeCell ref="AM1:AM2"/>
    <mergeCell ref="AN1:AN2"/>
    <mergeCell ref="AO1:AO2"/>
    <mergeCell ref="AP1:AP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DD96-E650-1645-9205-DDB336D60FA6}">
  <dimension ref="A1:D48"/>
  <sheetViews>
    <sheetView topLeftCell="A13" zoomScale="125" zoomScaleNormal="140" workbookViewId="0">
      <selection activeCell="A18" sqref="A18"/>
    </sheetView>
  </sheetViews>
  <sheetFormatPr defaultColWidth="11.5546875" defaultRowHeight="15"/>
  <cols>
    <col min="1" max="1" width="16.6640625" customWidth="1"/>
    <col min="2" max="2" width="50" customWidth="1"/>
    <col min="3" max="4" width="13.33203125" customWidth="1"/>
  </cols>
  <sheetData>
    <row r="1" spans="1:4" ht="63">
      <c r="A1" s="2" t="s">
        <v>123</v>
      </c>
      <c r="B1" s="2" t="s">
        <v>124</v>
      </c>
      <c r="C1" s="3" t="s">
        <v>125</v>
      </c>
      <c r="D1" s="7" t="s">
        <v>156</v>
      </c>
    </row>
    <row r="2" spans="1:4" ht="30" customHeight="1">
      <c r="A2" s="4" t="s">
        <v>2</v>
      </c>
      <c r="B2" s="4" t="s">
        <v>126</v>
      </c>
      <c r="C2" s="4"/>
      <c r="D2" s="4"/>
    </row>
    <row r="3" spans="1:4" ht="30" customHeight="1">
      <c r="A3" s="5"/>
      <c r="B3" s="5" t="s">
        <v>127</v>
      </c>
      <c r="C3" s="5"/>
      <c r="D3" s="5"/>
    </row>
    <row r="4" spans="1:4" ht="30" customHeight="1">
      <c r="A4" s="5"/>
      <c r="B4" s="5" t="s">
        <v>128</v>
      </c>
      <c r="C4" s="5"/>
      <c r="D4" s="5"/>
    </row>
    <row r="5" spans="1:4" ht="30" customHeight="1">
      <c r="A5" s="5"/>
      <c r="B5" s="5" t="s">
        <v>129</v>
      </c>
      <c r="C5" s="5"/>
      <c r="D5" s="5"/>
    </row>
    <row r="6" spans="1:4" ht="30" customHeight="1">
      <c r="A6" s="6"/>
      <c r="B6" s="6" t="s">
        <v>130</v>
      </c>
      <c r="C6" s="6"/>
      <c r="D6" s="6"/>
    </row>
    <row r="7" spans="1:4" ht="30" customHeight="1">
      <c r="A7" s="5" t="s">
        <v>131</v>
      </c>
      <c r="B7" s="5" t="s">
        <v>132</v>
      </c>
      <c r="C7" s="5"/>
      <c r="D7" s="5"/>
    </row>
    <row r="8" spans="1:4" ht="30" customHeight="1">
      <c r="A8" s="5"/>
      <c r="B8" s="5" t="s">
        <v>133</v>
      </c>
      <c r="C8" s="5"/>
      <c r="D8" s="5"/>
    </row>
    <row r="9" spans="1:4" ht="30" customHeight="1">
      <c r="A9" s="5"/>
      <c r="B9" s="5" t="s">
        <v>134</v>
      </c>
      <c r="C9" s="5"/>
      <c r="D9" s="5"/>
    </row>
    <row r="10" spans="1:4" ht="30" customHeight="1">
      <c r="A10" s="5"/>
      <c r="B10" s="5" t="s">
        <v>135</v>
      </c>
      <c r="C10" s="5"/>
      <c r="D10" s="5"/>
    </row>
    <row r="11" spans="1:4" ht="30" customHeight="1">
      <c r="A11" s="6"/>
      <c r="B11" s="6" t="s">
        <v>136</v>
      </c>
      <c r="C11" s="6"/>
      <c r="D11" s="6"/>
    </row>
    <row r="12" spans="1:4" ht="30" customHeight="1">
      <c r="A12" s="4" t="s">
        <v>3</v>
      </c>
      <c r="B12" s="4" t="s">
        <v>137</v>
      </c>
      <c r="C12" s="4"/>
      <c r="D12" s="4"/>
    </row>
    <row r="13" spans="1:4" ht="30" customHeight="1">
      <c r="A13" s="5"/>
      <c r="B13" s="5" t="s">
        <v>138</v>
      </c>
      <c r="C13" s="5"/>
      <c r="D13" s="5"/>
    </row>
    <row r="14" spans="1:4" ht="30" customHeight="1">
      <c r="A14" s="5"/>
      <c r="B14" s="5" t="s">
        <v>139</v>
      </c>
      <c r="C14" s="5"/>
      <c r="D14" s="5"/>
    </row>
    <row r="15" spans="1:4" ht="30" customHeight="1">
      <c r="A15" s="5"/>
      <c r="B15" s="5" t="s">
        <v>140</v>
      </c>
      <c r="C15" s="5"/>
      <c r="D15" s="5"/>
    </row>
    <row r="16" spans="1:4" ht="30" customHeight="1">
      <c r="A16" s="6"/>
      <c r="B16" s="6" t="s">
        <v>141</v>
      </c>
      <c r="C16" s="6"/>
      <c r="D16" s="6"/>
    </row>
    <row r="17" spans="1:4" ht="30" customHeight="1">
      <c r="A17" s="4" t="s">
        <v>215</v>
      </c>
      <c r="B17" s="4" t="s">
        <v>142</v>
      </c>
      <c r="C17" s="4"/>
      <c r="D17" s="4"/>
    </row>
    <row r="18" spans="1:4" ht="30" customHeight="1">
      <c r="A18" s="5"/>
      <c r="B18" s="5" t="s">
        <v>143</v>
      </c>
      <c r="C18" s="5"/>
      <c r="D18" s="5"/>
    </row>
    <row r="19" spans="1:4" ht="30" customHeight="1">
      <c r="A19" s="5"/>
      <c r="B19" s="5" t="s">
        <v>144</v>
      </c>
      <c r="C19" s="5"/>
      <c r="D19" s="5"/>
    </row>
    <row r="20" spans="1:4" ht="30" customHeight="1">
      <c r="A20" s="5"/>
      <c r="B20" s="5" t="s">
        <v>145</v>
      </c>
      <c r="C20" s="5"/>
      <c r="D20" s="5"/>
    </row>
    <row r="21" spans="1:4" ht="30" customHeight="1">
      <c r="A21" s="6"/>
      <c r="B21" s="6" t="s">
        <v>146</v>
      </c>
      <c r="C21" s="6"/>
      <c r="D21" s="6"/>
    </row>
    <row r="22" spans="1:4" ht="30" customHeight="1">
      <c r="A22" s="4" t="s">
        <v>179</v>
      </c>
      <c r="B22" s="4" t="s">
        <v>147</v>
      </c>
      <c r="C22" s="4"/>
      <c r="D22" s="4"/>
    </row>
    <row r="23" spans="1:4" ht="30" customHeight="1">
      <c r="A23" s="5"/>
      <c r="B23" s="5" t="s">
        <v>148</v>
      </c>
      <c r="C23" s="5"/>
      <c r="D23" s="5"/>
    </row>
    <row r="24" spans="1:4" ht="30" customHeight="1">
      <c r="A24" s="5"/>
      <c r="B24" s="5" t="s">
        <v>149</v>
      </c>
      <c r="C24" s="5"/>
      <c r="D24" s="5"/>
    </row>
    <row r="25" spans="1:4" ht="30" customHeight="1">
      <c r="A25" s="5"/>
      <c r="B25" s="5" t="s">
        <v>150</v>
      </c>
      <c r="C25" s="5"/>
      <c r="D25" s="5"/>
    </row>
    <row r="26" spans="1:4" ht="30" customHeight="1">
      <c r="A26" s="6"/>
      <c r="B26" s="6" t="s">
        <v>151</v>
      </c>
      <c r="C26" s="6"/>
      <c r="D26" s="6"/>
    </row>
    <row r="27" spans="1:4" ht="30" customHeight="1">
      <c r="A27" s="4" t="s">
        <v>185</v>
      </c>
      <c r="B27" s="4" t="s">
        <v>152</v>
      </c>
      <c r="C27" s="4"/>
      <c r="D27" s="4"/>
    </row>
    <row r="28" spans="1:4" ht="30" customHeight="1">
      <c r="A28" s="5"/>
      <c r="B28" s="5" t="s">
        <v>153</v>
      </c>
      <c r="C28" s="5"/>
      <c r="D28" s="5"/>
    </row>
    <row r="29" spans="1:4" ht="30" customHeight="1">
      <c r="A29" s="5"/>
      <c r="B29" s="5" t="s">
        <v>154</v>
      </c>
      <c r="C29" s="5"/>
      <c r="D29" s="5"/>
    </row>
    <row r="30" spans="1:4" ht="30" customHeight="1">
      <c r="A30" s="5"/>
      <c r="B30" s="5" t="s">
        <v>157</v>
      </c>
      <c r="C30" s="5"/>
      <c r="D30" s="5"/>
    </row>
    <row r="31" spans="1:4" ht="30" customHeight="1">
      <c r="A31" s="6"/>
      <c r="B31" s="6" t="s">
        <v>155</v>
      </c>
      <c r="C31" s="6"/>
      <c r="D31" s="6"/>
    </row>
    <row r="32" spans="1:4" ht="30" customHeight="1">
      <c r="A32" s="5"/>
      <c r="B32" s="5"/>
      <c r="C32" s="5"/>
      <c r="D32" s="5"/>
    </row>
    <row r="33" spans="1:4" ht="30" customHeight="1">
      <c r="A33" s="5"/>
      <c r="B33" s="5"/>
      <c r="C33" s="5"/>
      <c r="D33" s="5"/>
    </row>
    <row r="34" spans="1:4" ht="30" customHeight="1">
      <c r="A34" s="5"/>
      <c r="B34" s="5"/>
      <c r="C34" s="5"/>
      <c r="D34" s="5"/>
    </row>
    <row r="35" spans="1:4" ht="30" customHeight="1">
      <c r="A35" s="5"/>
      <c r="B35" s="5"/>
      <c r="C35" s="5"/>
      <c r="D35" s="5"/>
    </row>
    <row r="36" spans="1:4" ht="30" customHeight="1">
      <c r="A36" s="5"/>
      <c r="B36" s="5"/>
      <c r="C36" s="5"/>
      <c r="D36" s="5"/>
    </row>
    <row r="37" spans="1:4" ht="30" customHeight="1">
      <c r="A37" s="5"/>
      <c r="B37" s="5"/>
      <c r="C37" s="5"/>
      <c r="D37" s="5"/>
    </row>
    <row r="38" spans="1:4" ht="30" customHeight="1">
      <c r="A38" s="5"/>
      <c r="B38" s="5"/>
      <c r="C38" s="5"/>
      <c r="D38" s="5"/>
    </row>
    <row r="39" spans="1:4" ht="30" customHeight="1">
      <c r="A39" s="5"/>
      <c r="B39" s="5"/>
      <c r="C39" s="5"/>
      <c r="D39" s="5"/>
    </row>
    <row r="40" spans="1:4" ht="30" customHeight="1">
      <c r="A40" s="5"/>
      <c r="B40" s="5"/>
      <c r="C40" s="5"/>
      <c r="D40" s="5"/>
    </row>
    <row r="41" spans="1:4" ht="30" customHeight="1">
      <c r="A41" s="5"/>
      <c r="B41" s="5"/>
      <c r="C41" s="5"/>
      <c r="D41" s="5"/>
    </row>
    <row r="42" spans="1:4" ht="30" customHeight="1">
      <c r="A42" s="5"/>
      <c r="B42" s="5"/>
      <c r="C42" s="5"/>
      <c r="D42" s="5"/>
    </row>
    <row r="43" spans="1:4" ht="30" customHeight="1">
      <c r="A43" s="5"/>
      <c r="B43" s="5"/>
      <c r="C43" s="5"/>
      <c r="D43" s="5"/>
    </row>
    <row r="44" spans="1:4" ht="32.1" customHeight="1">
      <c r="A44" s="5"/>
      <c r="B44" s="5"/>
      <c r="C44" s="5"/>
      <c r="D44" s="5"/>
    </row>
    <row r="45" spans="1:4" ht="30" customHeight="1">
      <c r="A45" s="5"/>
      <c r="B45" s="5"/>
      <c r="C45" s="5"/>
      <c r="D45" s="5"/>
    </row>
    <row r="46" spans="1:4" ht="30" customHeight="1">
      <c r="A46" s="5"/>
      <c r="B46" s="5"/>
      <c r="C46" s="5"/>
      <c r="D46" s="5"/>
    </row>
    <row r="47" spans="1:4" ht="30" customHeight="1">
      <c r="A47" s="5"/>
      <c r="B47" s="5"/>
      <c r="C47" s="5"/>
      <c r="D47" s="5"/>
    </row>
    <row r="48" spans="1:4" ht="30" customHeight="1">
      <c r="A48" s="5"/>
      <c r="B48" s="5"/>
      <c r="C48" s="5"/>
      <c r="D4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F4ED-F69F-BE41-8A0D-6F416D484C90}">
  <dimension ref="A1:AZ52"/>
  <sheetViews>
    <sheetView zoomScale="120" zoomScaleNormal="120" workbookViewId="0">
      <pane xSplit="2" ySplit="2" topLeftCell="Y3" activePane="bottomRight" state="frozen"/>
      <selection pane="topRight" activeCell="C1" sqref="C1"/>
      <selection pane="bottomLeft" activeCell="A2" sqref="A2"/>
      <selection pane="bottomRight" activeCell="AP3" sqref="AP3:AP52"/>
    </sheetView>
  </sheetViews>
  <sheetFormatPr defaultColWidth="11.5546875" defaultRowHeight="15"/>
  <cols>
    <col min="1" max="1" width="4.33203125" customWidth="1"/>
    <col min="2" max="2" width="37.109375" customWidth="1"/>
    <col min="3" max="39" width="4.6640625" customWidth="1"/>
  </cols>
  <sheetData>
    <row r="1" spans="1:52" ht="23.1" customHeight="1">
      <c r="A1" s="42" t="s">
        <v>191</v>
      </c>
      <c r="B1" s="40" t="s">
        <v>1</v>
      </c>
      <c r="C1" s="44" t="s">
        <v>2</v>
      </c>
      <c r="D1" s="45"/>
      <c r="E1" s="45"/>
      <c r="F1" s="45"/>
      <c r="G1" s="46"/>
      <c r="H1" s="24"/>
      <c r="I1" s="47" t="s">
        <v>131</v>
      </c>
      <c r="J1" s="47"/>
      <c r="K1" s="47"/>
      <c r="L1" s="47"/>
      <c r="M1" s="47"/>
      <c r="N1" s="24"/>
      <c r="O1" s="44" t="s">
        <v>3</v>
      </c>
      <c r="P1" s="45"/>
      <c r="Q1" s="45"/>
      <c r="R1" s="45"/>
      <c r="S1" s="46"/>
      <c r="T1" s="24"/>
      <c r="U1" s="47" t="s">
        <v>173</v>
      </c>
      <c r="V1" s="47"/>
      <c r="W1" s="47"/>
      <c r="X1" s="47"/>
      <c r="Y1" s="47"/>
      <c r="Z1" s="24"/>
      <c r="AA1" s="44" t="s">
        <v>179</v>
      </c>
      <c r="AB1" s="45"/>
      <c r="AC1" s="45"/>
      <c r="AD1" s="45"/>
      <c r="AE1" s="46"/>
      <c r="AF1" s="24"/>
      <c r="AG1" s="47" t="s">
        <v>185</v>
      </c>
      <c r="AH1" s="47"/>
      <c r="AI1" s="47"/>
      <c r="AJ1" s="47"/>
      <c r="AK1" s="47"/>
      <c r="AL1" s="24"/>
      <c r="AM1" s="48" t="s">
        <v>192</v>
      </c>
      <c r="AN1" s="36" t="s">
        <v>4</v>
      </c>
      <c r="AO1" s="36" t="s">
        <v>5</v>
      </c>
      <c r="AP1" s="36" t="s">
        <v>203</v>
      </c>
      <c r="AQ1" s="34" t="s">
        <v>212</v>
      </c>
      <c r="AR1" s="16" t="s">
        <v>204</v>
      </c>
      <c r="AS1" s="36" t="s">
        <v>201</v>
      </c>
      <c r="AT1" s="34" t="s">
        <v>212</v>
      </c>
      <c r="AU1" s="16" t="s">
        <v>207</v>
      </c>
      <c r="AV1" s="36" t="s">
        <v>8</v>
      </c>
      <c r="AW1" s="36" t="s">
        <v>9</v>
      </c>
      <c r="AX1" s="36" t="s">
        <v>10</v>
      </c>
      <c r="AY1" s="36" t="s">
        <v>11</v>
      </c>
      <c r="AZ1" s="38" t="s">
        <v>12</v>
      </c>
    </row>
    <row r="2" spans="1:52" ht="23.1" customHeight="1">
      <c r="A2" s="43" t="s">
        <v>0</v>
      </c>
      <c r="B2" s="41"/>
      <c r="C2" s="8" t="s">
        <v>158</v>
      </c>
      <c r="D2" s="9" t="s">
        <v>159</v>
      </c>
      <c r="E2" s="9" t="s">
        <v>160</v>
      </c>
      <c r="F2" s="9" t="s">
        <v>161</v>
      </c>
      <c r="G2" s="10" t="s">
        <v>162</v>
      </c>
      <c r="H2" s="25"/>
      <c r="I2" s="17" t="s">
        <v>163</v>
      </c>
      <c r="J2" s="17" t="s">
        <v>164</v>
      </c>
      <c r="K2" s="17" t="s">
        <v>165</v>
      </c>
      <c r="L2" s="17" t="s">
        <v>166</v>
      </c>
      <c r="M2" s="17" t="s">
        <v>167</v>
      </c>
      <c r="N2" s="25"/>
      <c r="O2" s="8" t="s">
        <v>168</v>
      </c>
      <c r="P2" s="9" t="s">
        <v>169</v>
      </c>
      <c r="Q2" s="9" t="s">
        <v>170</v>
      </c>
      <c r="R2" s="9" t="s">
        <v>171</v>
      </c>
      <c r="S2" s="10" t="s">
        <v>172</v>
      </c>
      <c r="T2" s="25"/>
      <c r="U2" s="17" t="s">
        <v>174</v>
      </c>
      <c r="V2" s="17" t="s">
        <v>175</v>
      </c>
      <c r="W2" s="17" t="s">
        <v>176</v>
      </c>
      <c r="X2" s="17" t="s">
        <v>177</v>
      </c>
      <c r="Y2" s="17" t="s">
        <v>178</v>
      </c>
      <c r="Z2" s="25"/>
      <c r="AA2" s="8" t="s">
        <v>180</v>
      </c>
      <c r="AB2" s="9" t="s">
        <v>181</v>
      </c>
      <c r="AC2" s="9" t="s">
        <v>182</v>
      </c>
      <c r="AD2" s="9" t="s">
        <v>183</v>
      </c>
      <c r="AE2" s="10" t="s">
        <v>184</v>
      </c>
      <c r="AF2" s="25"/>
      <c r="AG2" s="17" t="s">
        <v>186</v>
      </c>
      <c r="AH2" s="17" t="s">
        <v>187</v>
      </c>
      <c r="AI2" s="17" t="s">
        <v>188</v>
      </c>
      <c r="AJ2" s="17" t="s">
        <v>189</v>
      </c>
      <c r="AK2" s="17" t="s">
        <v>190</v>
      </c>
      <c r="AL2" s="25"/>
      <c r="AM2" s="49"/>
      <c r="AN2" s="37"/>
      <c r="AO2" s="37"/>
      <c r="AP2" s="37"/>
      <c r="AQ2" s="35" t="s">
        <v>213</v>
      </c>
      <c r="AR2" s="18"/>
      <c r="AS2" s="37"/>
      <c r="AT2" s="35" t="s">
        <v>213</v>
      </c>
      <c r="AU2" s="18"/>
      <c r="AV2" s="37"/>
      <c r="AW2" s="37"/>
      <c r="AX2" s="37"/>
      <c r="AY2" s="37"/>
      <c r="AZ2" s="39"/>
    </row>
    <row r="3" spans="1:52" ht="15.75">
      <c r="A3" s="11">
        <v>1</v>
      </c>
      <c r="B3" s="19" t="s">
        <v>13</v>
      </c>
      <c r="C3" s="11">
        <v>0</v>
      </c>
      <c r="D3" s="1">
        <v>1</v>
      </c>
      <c r="E3" s="1">
        <v>1</v>
      </c>
      <c r="F3" s="1">
        <v>0</v>
      </c>
      <c r="G3" s="12">
        <v>1</v>
      </c>
      <c r="H3" s="26">
        <f>SUM(C3:G3)</f>
        <v>3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26">
        <f>SUM(I3:M3)</f>
        <v>5</v>
      </c>
      <c r="O3" s="11">
        <v>0</v>
      </c>
      <c r="P3" s="1">
        <v>1</v>
      </c>
      <c r="Q3" s="1">
        <v>1</v>
      </c>
      <c r="R3" s="1">
        <v>0</v>
      </c>
      <c r="S3" s="12">
        <v>0</v>
      </c>
      <c r="T3" s="26">
        <f>SUM(O3:S3)</f>
        <v>2</v>
      </c>
      <c r="U3" s="1">
        <v>0</v>
      </c>
      <c r="V3" s="1">
        <v>1</v>
      </c>
      <c r="W3" s="1">
        <v>0</v>
      </c>
      <c r="X3" s="1">
        <v>1</v>
      </c>
      <c r="Y3" s="1">
        <v>1</v>
      </c>
      <c r="Z3" s="26">
        <f>SUM(U3:Y3)</f>
        <v>3</v>
      </c>
      <c r="AA3" s="11">
        <v>1</v>
      </c>
      <c r="AB3" s="1">
        <v>1</v>
      </c>
      <c r="AC3" s="1">
        <v>0</v>
      </c>
      <c r="AD3" s="1">
        <v>0</v>
      </c>
      <c r="AE3" s="12">
        <v>1</v>
      </c>
      <c r="AF3" s="26">
        <f>SUM(AA3:AE3)</f>
        <v>3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26">
        <f>SUM(AG3:AK3)</f>
        <v>5</v>
      </c>
      <c r="AM3" s="22">
        <f>SUM(C3:AK3)</f>
        <v>37</v>
      </c>
      <c r="AN3" s="19" t="s">
        <v>14</v>
      </c>
      <c r="AO3" s="1">
        <v>20</v>
      </c>
      <c r="AP3" s="1">
        <v>1.5</v>
      </c>
      <c r="AQ3" s="1">
        <f>IF(AR3="hr",AP3,AP3/60)</f>
        <v>1.5</v>
      </c>
      <c r="AR3" s="1" t="s">
        <v>205</v>
      </c>
      <c r="AS3" s="1">
        <v>500</v>
      </c>
      <c r="AT3" s="1">
        <f>IF(AU3="m",AS3*1,AS3*1000)</f>
        <v>500</v>
      </c>
      <c r="AU3" s="1" t="s">
        <v>208</v>
      </c>
      <c r="AV3" s="1">
        <v>4.7</v>
      </c>
      <c r="AW3" s="1">
        <v>4.7</v>
      </c>
      <c r="AX3" s="1">
        <v>4.5</v>
      </c>
      <c r="AY3" s="1">
        <v>18.805</v>
      </c>
      <c r="AZ3" s="12">
        <v>98.921599999999998</v>
      </c>
    </row>
    <row r="4" spans="1:52" ht="15.75">
      <c r="A4" s="11">
        <v>2</v>
      </c>
      <c r="B4" s="19" t="s">
        <v>17</v>
      </c>
      <c r="C4" s="11">
        <v>1</v>
      </c>
      <c r="D4" s="1">
        <v>1</v>
      </c>
      <c r="E4" s="1">
        <v>1</v>
      </c>
      <c r="F4" s="1">
        <v>1</v>
      </c>
      <c r="G4" s="12">
        <v>1</v>
      </c>
      <c r="H4" s="26">
        <f t="shared" ref="H4:H52" si="0">SUM(C4:G4)</f>
        <v>5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26">
        <f t="shared" ref="N4:N52" si="1">SUM(I4:M4)</f>
        <v>5</v>
      </c>
      <c r="O4" s="11">
        <v>1</v>
      </c>
      <c r="P4" s="1">
        <v>1</v>
      </c>
      <c r="Q4" s="1">
        <v>1</v>
      </c>
      <c r="R4" s="1">
        <v>1</v>
      </c>
      <c r="S4" s="12">
        <v>1</v>
      </c>
      <c r="T4" s="26">
        <f t="shared" ref="T4:T52" si="2">SUM(O4:S4)</f>
        <v>5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26">
        <f t="shared" ref="Z4:Z52" si="3">SUM(U4:Y4)</f>
        <v>5</v>
      </c>
      <c r="AA4" s="11">
        <v>1</v>
      </c>
      <c r="AB4" s="1">
        <v>1</v>
      </c>
      <c r="AC4" s="1">
        <v>0</v>
      </c>
      <c r="AD4" s="1">
        <v>1</v>
      </c>
      <c r="AE4" s="12">
        <v>1</v>
      </c>
      <c r="AF4" s="26">
        <f t="shared" ref="AF4:AF52" si="4">SUM(AA4:AE4)</f>
        <v>4</v>
      </c>
      <c r="AG4" s="1">
        <v>1</v>
      </c>
      <c r="AH4" s="1">
        <v>1</v>
      </c>
      <c r="AI4" s="1">
        <v>0</v>
      </c>
      <c r="AJ4" s="1">
        <v>0</v>
      </c>
      <c r="AK4" s="1">
        <v>1</v>
      </c>
      <c r="AL4" s="26">
        <f t="shared" ref="AL4:AL52" si="5">SUM(AG4:AK4)</f>
        <v>3</v>
      </c>
      <c r="AM4" s="22">
        <f t="shared" ref="AM4:AM52" si="6">SUM(C4:AK4)</f>
        <v>51</v>
      </c>
      <c r="AN4" s="19" t="s">
        <v>18</v>
      </c>
      <c r="AO4" s="1">
        <v>0</v>
      </c>
      <c r="AP4" s="1">
        <v>1</v>
      </c>
      <c r="AQ4" s="1">
        <f t="shared" ref="AQ4:AQ52" si="7">IF(AR4="hr",AP4,AP4/60)</f>
        <v>1</v>
      </c>
      <c r="AR4" s="1" t="s">
        <v>205</v>
      </c>
      <c r="AS4" s="1">
        <v>300</v>
      </c>
      <c r="AT4" s="1">
        <f t="shared" ref="AT4:AT52" si="8">IF(AU4="m",AS4*1,AS4*1000)</f>
        <v>300</v>
      </c>
      <c r="AU4" s="1" t="s">
        <v>208</v>
      </c>
      <c r="AV4" s="1">
        <v>4.7</v>
      </c>
      <c r="AW4" s="1">
        <v>4.8</v>
      </c>
      <c r="AX4" s="1">
        <v>4.5</v>
      </c>
      <c r="AY4" s="1">
        <v>18.786999999999999</v>
      </c>
      <c r="AZ4" s="12">
        <v>98.986599999999996</v>
      </c>
    </row>
    <row r="5" spans="1:52" ht="15.75">
      <c r="A5" s="11">
        <v>3</v>
      </c>
      <c r="B5" s="19" t="s">
        <v>21</v>
      </c>
      <c r="C5" s="11">
        <v>1</v>
      </c>
      <c r="D5" s="1">
        <v>1</v>
      </c>
      <c r="E5" s="1">
        <v>1</v>
      </c>
      <c r="F5" s="1">
        <v>1</v>
      </c>
      <c r="G5" s="12">
        <v>1</v>
      </c>
      <c r="H5" s="26">
        <f t="shared" si="0"/>
        <v>5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26">
        <f t="shared" si="1"/>
        <v>5</v>
      </c>
      <c r="O5" s="11">
        <v>1</v>
      </c>
      <c r="P5" s="1">
        <v>1</v>
      </c>
      <c r="Q5" s="1">
        <v>1</v>
      </c>
      <c r="R5" s="1">
        <v>1</v>
      </c>
      <c r="S5" s="12">
        <v>1</v>
      </c>
      <c r="T5" s="26">
        <f t="shared" si="2"/>
        <v>5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26">
        <f t="shared" si="3"/>
        <v>5</v>
      </c>
      <c r="AA5" s="11">
        <v>1</v>
      </c>
      <c r="AB5" s="1">
        <v>1</v>
      </c>
      <c r="AC5" s="1">
        <v>0</v>
      </c>
      <c r="AD5" s="1">
        <v>1</v>
      </c>
      <c r="AE5" s="12">
        <v>1</v>
      </c>
      <c r="AF5" s="26">
        <f t="shared" si="4"/>
        <v>4</v>
      </c>
      <c r="AG5" s="1">
        <v>1</v>
      </c>
      <c r="AH5" s="1">
        <v>1</v>
      </c>
      <c r="AI5" s="1">
        <v>0</v>
      </c>
      <c r="AJ5" s="1">
        <v>0</v>
      </c>
      <c r="AK5" s="1">
        <v>1</v>
      </c>
      <c r="AL5" s="26">
        <f t="shared" si="5"/>
        <v>3</v>
      </c>
      <c r="AM5" s="22">
        <f t="shared" si="6"/>
        <v>51</v>
      </c>
      <c r="AN5" s="19" t="s">
        <v>22</v>
      </c>
      <c r="AO5" s="1">
        <v>0</v>
      </c>
      <c r="AP5" s="1">
        <v>1</v>
      </c>
      <c r="AQ5" s="1">
        <f t="shared" si="7"/>
        <v>1</v>
      </c>
      <c r="AR5" s="1" t="s">
        <v>205</v>
      </c>
      <c r="AS5" s="1">
        <v>250</v>
      </c>
      <c r="AT5" s="1">
        <f t="shared" si="8"/>
        <v>250</v>
      </c>
      <c r="AU5" s="1" t="s">
        <v>208</v>
      </c>
      <c r="AV5" s="1">
        <v>4.7</v>
      </c>
      <c r="AW5" s="1">
        <v>4.7</v>
      </c>
      <c r="AX5" s="1">
        <v>4.5999999999999996</v>
      </c>
      <c r="AY5" s="1">
        <v>18.788499999999999</v>
      </c>
      <c r="AZ5" s="12">
        <v>98.981999999999999</v>
      </c>
    </row>
    <row r="6" spans="1:52" ht="15.75">
      <c r="A6" s="11">
        <v>4</v>
      </c>
      <c r="B6" s="19" t="s">
        <v>24</v>
      </c>
      <c r="C6" s="11">
        <v>1</v>
      </c>
      <c r="D6" s="1">
        <v>1</v>
      </c>
      <c r="E6" s="1">
        <v>1</v>
      </c>
      <c r="F6" s="1">
        <v>0</v>
      </c>
      <c r="G6" s="12">
        <v>1</v>
      </c>
      <c r="H6" s="26">
        <f t="shared" si="0"/>
        <v>4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26">
        <f t="shared" si="1"/>
        <v>5</v>
      </c>
      <c r="O6" s="11">
        <v>0</v>
      </c>
      <c r="P6" s="1">
        <v>0</v>
      </c>
      <c r="Q6" s="1">
        <v>1</v>
      </c>
      <c r="R6" s="1">
        <v>0</v>
      </c>
      <c r="S6" s="12">
        <v>0</v>
      </c>
      <c r="T6" s="26">
        <f t="shared" si="2"/>
        <v>1</v>
      </c>
      <c r="U6" s="1">
        <v>1</v>
      </c>
      <c r="V6" s="1">
        <v>1</v>
      </c>
      <c r="W6" s="1">
        <v>0</v>
      </c>
      <c r="X6" s="1">
        <v>1</v>
      </c>
      <c r="Y6" s="1">
        <v>0</v>
      </c>
      <c r="Z6" s="26">
        <f t="shared" si="3"/>
        <v>3</v>
      </c>
      <c r="AA6" s="11">
        <v>1</v>
      </c>
      <c r="AB6" s="1">
        <v>1</v>
      </c>
      <c r="AC6" s="1">
        <v>0</v>
      </c>
      <c r="AD6" s="1">
        <v>1</v>
      </c>
      <c r="AE6" s="12">
        <v>1</v>
      </c>
      <c r="AF6" s="26">
        <f t="shared" si="4"/>
        <v>4</v>
      </c>
      <c r="AG6" s="1">
        <v>1</v>
      </c>
      <c r="AH6" s="1">
        <v>1</v>
      </c>
      <c r="AI6" s="1">
        <v>1</v>
      </c>
      <c r="AJ6" s="1">
        <v>0</v>
      </c>
      <c r="AK6" s="1">
        <v>1</v>
      </c>
      <c r="AL6" s="26">
        <f t="shared" si="5"/>
        <v>4</v>
      </c>
      <c r="AM6" s="22">
        <f t="shared" si="6"/>
        <v>38</v>
      </c>
      <c r="AN6" s="19" t="s">
        <v>25</v>
      </c>
      <c r="AO6" s="1">
        <v>0</v>
      </c>
      <c r="AP6" s="1">
        <v>1</v>
      </c>
      <c r="AQ6" s="1">
        <f t="shared" si="7"/>
        <v>1</v>
      </c>
      <c r="AR6" s="1" t="s">
        <v>205</v>
      </c>
      <c r="AS6" s="1">
        <v>400</v>
      </c>
      <c r="AT6" s="1">
        <f t="shared" si="8"/>
        <v>400</v>
      </c>
      <c r="AU6" s="1" t="s">
        <v>208</v>
      </c>
      <c r="AV6" s="1">
        <v>4.5999999999999996</v>
      </c>
      <c r="AW6" s="1">
        <v>4.7</v>
      </c>
      <c r="AX6" s="1">
        <v>4.3</v>
      </c>
      <c r="AY6" s="1">
        <v>18.782699999999998</v>
      </c>
      <c r="AZ6" s="12">
        <v>98.952100000000002</v>
      </c>
    </row>
    <row r="7" spans="1:52" ht="15.75">
      <c r="A7" s="11">
        <v>5</v>
      </c>
      <c r="B7" s="19" t="s">
        <v>27</v>
      </c>
      <c r="C7" s="11">
        <v>1</v>
      </c>
      <c r="D7" s="1">
        <v>1</v>
      </c>
      <c r="E7" s="1">
        <v>1</v>
      </c>
      <c r="F7" s="1">
        <v>1</v>
      </c>
      <c r="G7" s="12">
        <v>1</v>
      </c>
      <c r="H7" s="26">
        <f t="shared" si="0"/>
        <v>5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26">
        <f t="shared" si="1"/>
        <v>5</v>
      </c>
      <c r="O7" s="11">
        <v>1</v>
      </c>
      <c r="P7" s="1">
        <v>1</v>
      </c>
      <c r="Q7" s="1">
        <v>1</v>
      </c>
      <c r="R7" s="1">
        <v>1</v>
      </c>
      <c r="S7" s="12">
        <v>1</v>
      </c>
      <c r="T7" s="26">
        <f t="shared" si="2"/>
        <v>5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26">
        <f t="shared" si="3"/>
        <v>5</v>
      </c>
      <c r="AA7" s="11">
        <v>1</v>
      </c>
      <c r="AB7" s="1">
        <v>1</v>
      </c>
      <c r="AC7" s="1">
        <v>0</v>
      </c>
      <c r="AD7" s="1">
        <v>1</v>
      </c>
      <c r="AE7" s="12">
        <v>1</v>
      </c>
      <c r="AF7" s="26">
        <f t="shared" si="4"/>
        <v>4</v>
      </c>
      <c r="AG7" s="1">
        <v>1</v>
      </c>
      <c r="AH7" s="1">
        <v>1</v>
      </c>
      <c r="AI7" s="1">
        <v>0</v>
      </c>
      <c r="AJ7" s="1">
        <v>0</v>
      </c>
      <c r="AK7" s="1">
        <v>1</v>
      </c>
      <c r="AL7" s="26">
        <f t="shared" si="5"/>
        <v>3</v>
      </c>
      <c r="AM7" s="22">
        <f t="shared" si="6"/>
        <v>51</v>
      </c>
      <c r="AN7" s="19" t="s">
        <v>28</v>
      </c>
      <c r="AO7" s="1">
        <v>0</v>
      </c>
      <c r="AP7" s="1">
        <v>1</v>
      </c>
      <c r="AQ7" s="1">
        <f t="shared" si="7"/>
        <v>1</v>
      </c>
      <c r="AR7" s="1" t="s">
        <v>205</v>
      </c>
      <c r="AS7" s="1">
        <v>300</v>
      </c>
      <c r="AT7" s="1">
        <f t="shared" si="8"/>
        <v>300</v>
      </c>
      <c r="AU7" s="1" t="s">
        <v>208</v>
      </c>
      <c r="AV7" s="1">
        <v>4.5999999999999996</v>
      </c>
      <c r="AW7" s="1">
        <v>4.5999999999999996</v>
      </c>
      <c r="AX7" s="1">
        <v>4.0999999999999996</v>
      </c>
      <c r="AY7" s="1">
        <v>18.793800000000001</v>
      </c>
      <c r="AZ7" s="12">
        <v>98.9893</v>
      </c>
    </row>
    <row r="8" spans="1:52" ht="15.75">
      <c r="A8" s="11">
        <v>6</v>
      </c>
      <c r="B8" s="19" t="s">
        <v>29</v>
      </c>
      <c r="C8" s="11">
        <v>1</v>
      </c>
      <c r="D8" s="1">
        <v>1</v>
      </c>
      <c r="E8" s="1">
        <v>1</v>
      </c>
      <c r="F8" s="1">
        <v>1</v>
      </c>
      <c r="G8" s="12">
        <v>1</v>
      </c>
      <c r="H8" s="26">
        <f t="shared" si="0"/>
        <v>5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26">
        <f t="shared" si="1"/>
        <v>5</v>
      </c>
      <c r="O8" s="11">
        <v>1</v>
      </c>
      <c r="P8" s="1">
        <v>1</v>
      </c>
      <c r="Q8" s="1">
        <v>1</v>
      </c>
      <c r="R8" s="1">
        <v>1</v>
      </c>
      <c r="S8" s="12">
        <v>1</v>
      </c>
      <c r="T8" s="26">
        <f t="shared" si="2"/>
        <v>5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26">
        <f t="shared" si="3"/>
        <v>5</v>
      </c>
      <c r="AA8" s="11">
        <v>1</v>
      </c>
      <c r="AB8" s="1">
        <v>1</v>
      </c>
      <c r="AC8" s="1">
        <v>1</v>
      </c>
      <c r="AD8" s="1">
        <v>1</v>
      </c>
      <c r="AE8" s="12">
        <v>1</v>
      </c>
      <c r="AF8" s="26">
        <f t="shared" si="4"/>
        <v>5</v>
      </c>
      <c r="AG8" s="1">
        <v>1</v>
      </c>
      <c r="AH8" s="1">
        <v>1</v>
      </c>
      <c r="AI8" s="1">
        <v>0</v>
      </c>
      <c r="AJ8" s="1">
        <v>1</v>
      </c>
      <c r="AK8" s="1">
        <v>1</v>
      </c>
      <c r="AL8" s="26">
        <f t="shared" si="5"/>
        <v>4</v>
      </c>
      <c r="AM8" s="22">
        <f t="shared" si="6"/>
        <v>54</v>
      </c>
      <c r="AN8" s="19" t="s">
        <v>28</v>
      </c>
      <c r="AO8" s="1">
        <v>0</v>
      </c>
      <c r="AP8" s="1">
        <v>1</v>
      </c>
      <c r="AQ8" s="1">
        <f t="shared" si="7"/>
        <v>1</v>
      </c>
      <c r="AR8" s="1" t="s">
        <v>205</v>
      </c>
      <c r="AS8" s="1">
        <v>350</v>
      </c>
      <c r="AT8" s="1">
        <f t="shared" si="8"/>
        <v>350</v>
      </c>
      <c r="AU8" s="1" t="s">
        <v>208</v>
      </c>
      <c r="AV8" s="1">
        <v>4.5999999999999996</v>
      </c>
      <c r="AW8" s="1">
        <v>4.5999999999999996</v>
      </c>
      <c r="AX8" s="1">
        <v>4.3</v>
      </c>
      <c r="AY8" s="1">
        <v>18.7882</v>
      </c>
      <c r="AZ8" s="12">
        <v>98.967799999999997</v>
      </c>
    </row>
    <row r="9" spans="1:52" ht="15.75">
      <c r="A9" s="11">
        <v>7</v>
      </c>
      <c r="B9" s="19" t="s">
        <v>31</v>
      </c>
      <c r="C9" s="11">
        <v>1</v>
      </c>
      <c r="D9" s="1">
        <v>1</v>
      </c>
      <c r="E9" s="1">
        <v>1</v>
      </c>
      <c r="F9" s="1">
        <v>0</v>
      </c>
      <c r="G9" s="12">
        <v>1</v>
      </c>
      <c r="H9" s="26">
        <f t="shared" si="0"/>
        <v>4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26">
        <f t="shared" si="1"/>
        <v>5</v>
      </c>
      <c r="O9" s="11">
        <v>0</v>
      </c>
      <c r="P9" s="1">
        <v>1</v>
      </c>
      <c r="Q9" s="1">
        <v>0</v>
      </c>
      <c r="R9" s="1">
        <v>1</v>
      </c>
      <c r="S9" s="12">
        <v>0</v>
      </c>
      <c r="T9" s="26">
        <f t="shared" si="2"/>
        <v>2</v>
      </c>
      <c r="U9" s="1">
        <v>1</v>
      </c>
      <c r="V9" s="1">
        <v>1</v>
      </c>
      <c r="W9" s="1">
        <v>1</v>
      </c>
      <c r="X9" s="1">
        <v>1</v>
      </c>
      <c r="Y9" s="1">
        <v>0</v>
      </c>
      <c r="Z9" s="26">
        <f t="shared" si="3"/>
        <v>4</v>
      </c>
      <c r="AA9" s="11">
        <v>1</v>
      </c>
      <c r="AB9" s="1">
        <v>1</v>
      </c>
      <c r="AC9" s="1">
        <v>0</v>
      </c>
      <c r="AD9" s="1">
        <v>1</v>
      </c>
      <c r="AE9" s="12">
        <v>1</v>
      </c>
      <c r="AF9" s="26">
        <f t="shared" si="4"/>
        <v>4</v>
      </c>
      <c r="AG9" s="1">
        <v>1</v>
      </c>
      <c r="AH9" s="1">
        <v>1</v>
      </c>
      <c r="AI9" s="1">
        <v>0</v>
      </c>
      <c r="AJ9" s="1">
        <v>0</v>
      </c>
      <c r="AK9" s="1">
        <v>1</v>
      </c>
      <c r="AL9" s="26">
        <f t="shared" si="5"/>
        <v>3</v>
      </c>
      <c r="AM9" s="22">
        <f t="shared" si="6"/>
        <v>41</v>
      </c>
      <c r="AN9" s="19" t="s">
        <v>32</v>
      </c>
      <c r="AO9" s="1">
        <v>0</v>
      </c>
      <c r="AP9" s="1">
        <v>45</v>
      </c>
      <c r="AQ9" s="1">
        <f t="shared" si="7"/>
        <v>0.75</v>
      </c>
      <c r="AR9" s="1" t="s">
        <v>206</v>
      </c>
      <c r="AS9" s="1">
        <v>300</v>
      </c>
      <c r="AT9" s="1">
        <f t="shared" si="8"/>
        <v>300</v>
      </c>
      <c r="AU9" s="1" t="s">
        <v>208</v>
      </c>
      <c r="AV9" s="1">
        <v>4.7</v>
      </c>
      <c r="AW9" s="1">
        <v>4.8</v>
      </c>
      <c r="AX9" s="1">
        <v>4.4000000000000004</v>
      </c>
      <c r="AY9" s="1">
        <v>18.786000000000001</v>
      </c>
      <c r="AZ9" s="12">
        <v>98.982600000000005</v>
      </c>
    </row>
    <row r="10" spans="1:52" ht="15.75">
      <c r="A10" s="11">
        <v>8</v>
      </c>
      <c r="B10" s="19" t="s">
        <v>34</v>
      </c>
      <c r="C10" s="11">
        <v>1</v>
      </c>
      <c r="D10" s="1">
        <v>1</v>
      </c>
      <c r="E10" s="1">
        <v>1</v>
      </c>
      <c r="F10" s="1">
        <v>0</v>
      </c>
      <c r="G10" s="12">
        <v>1</v>
      </c>
      <c r="H10" s="26">
        <f t="shared" si="0"/>
        <v>4</v>
      </c>
      <c r="I10" s="1">
        <v>0</v>
      </c>
      <c r="J10" s="1">
        <v>1</v>
      </c>
      <c r="K10" s="1">
        <v>1</v>
      </c>
      <c r="L10" s="1">
        <v>1</v>
      </c>
      <c r="M10" s="1">
        <v>1</v>
      </c>
      <c r="N10" s="26">
        <f t="shared" si="1"/>
        <v>4</v>
      </c>
      <c r="O10" s="11">
        <v>0</v>
      </c>
      <c r="P10" s="1">
        <v>0</v>
      </c>
      <c r="Q10" s="1">
        <v>0</v>
      </c>
      <c r="R10" s="1">
        <v>0</v>
      </c>
      <c r="S10" s="12">
        <v>0</v>
      </c>
      <c r="T10" s="26">
        <f t="shared" si="2"/>
        <v>0</v>
      </c>
      <c r="U10" s="1">
        <v>1</v>
      </c>
      <c r="V10" s="1">
        <v>0</v>
      </c>
      <c r="W10" s="1">
        <v>1</v>
      </c>
      <c r="X10" s="1">
        <v>0</v>
      </c>
      <c r="Y10" s="1">
        <v>0</v>
      </c>
      <c r="Z10" s="26">
        <f t="shared" si="3"/>
        <v>2</v>
      </c>
      <c r="AA10" s="11">
        <v>1</v>
      </c>
      <c r="AB10" s="1">
        <v>1</v>
      </c>
      <c r="AC10" s="1">
        <v>1</v>
      </c>
      <c r="AD10" s="1">
        <v>1</v>
      </c>
      <c r="AE10" s="12">
        <v>1</v>
      </c>
      <c r="AF10" s="26">
        <f t="shared" si="4"/>
        <v>5</v>
      </c>
      <c r="AG10" s="1">
        <v>1</v>
      </c>
      <c r="AH10" s="1">
        <v>1</v>
      </c>
      <c r="AI10" s="1">
        <v>0</v>
      </c>
      <c r="AJ10" s="1">
        <v>0</v>
      </c>
      <c r="AK10" s="1">
        <v>1</v>
      </c>
      <c r="AL10" s="26">
        <f t="shared" si="5"/>
        <v>3</v>
      </c>
      <c r="AM10" s="22">
        <f t="shared" si="6"/>
        <v>33</v>
      </c>
      <c r="AN10" s="19" t="s">
        <v>28</v>
      </c>
      <c r="AO10" s="1">
        <v>0</v>
      </c>
      <c r="AP10" s="1">
        <v>1</v>
      </c>
      <c r="AQ10" s="1">
        <f t="shared" si="7"/>
        <v>1</v>
      </c>
      <c r="AR10" s="1" t="s">
        <v>205</v>
      </c>
      <c r="AS10" s="1">
        <v>300</v>
      </c>
      <c r="AT10" s="1">
        <f t="shared" si="8"/>
        <v>300</v>
      </c>
      <c r="AU10" s="1" t="s">
        <v>208</v>
      </c>
      <c r="AV10" s="1">
        <v>4.5</v>
      </c>
      <c r="AW10" s="1">
        <v>5</v>
      </c>
      <c r="AX10" s="1">
        <v>4.3</v>
      </c>
      <c r="AY10" s="1">
        <v>18.778700000000001</v>
      </c>
      <c r="AZ10" s="12">
        <v>98.983699999999999</v>
      </c>
    </row>
    <row r="11" spans="1:52" ht="15.75">
      <c r="A11" s="11">
        <v>9</v>
      </c>
      <c r="B11" s="19" t="s">
        <v>35</v>
      </c>
      <c r="C11" s="11">
        <v>0</v>
      </c>
      <c r="D11" s="1">
        <v>1</v>
      </c>
      <c r="E11" s="1">
        <v>1</v>
      </c>
      <c r="F11" s="1">
        <v>1</v>
      </c>
      <c r="G11" s="12">
        <v>1</v>
      </c>
      <c r="H11" s="26">
        <f t="shared" si="0"/>
        <v>4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26">
        <f t="shared" si="1"/>
        <v>5</v>
      </c>
      <c r="O11" s="11">
        <v>0</v>
      </c>
      <c r="P11" s="1">
        <v>0</v>
      </c>
      <c r="Q11" s="1">
        <v>0</v>
      </c>
      <c r="R11" s="1">
        <v>1</v>
      </c>
      <c r="S11" s="12">
        <v>0</v>
      </c>
      <c r="T11" s="26">
        <f t="shared" si="2"/>
        <v>1</v>
      </c>
      <c r="U11" s="1">
        <v>1</v>
      </c>
      <c r="V11" s="1">
        <v>1</v>
      </c>
      <c r="W11" s="1">
        <v>1</v>
      </c>
      <c r="X11" s="1">
        <v>1</v>
      </c>
      <c r="Y11" s="1">
        <v>0</v>
      </c>
      <c r="Z11" s="26">
        <f t="shared" si="3"/>
        <v>4</v>
      </c>
      <c r="AA11" s="11">
        <v>1</v>
      </c>
      <c r="AB11" s="1">
        <v>1</v>
      </c>
      <c r="AC11" s="1">
        <v>0</v>
      </c>
      <c r="AD11" s="1">
        <v>1</v>
      </c>
      <c r="AE11" s="12">
        <v>1</v>
      </c>
      <c r="AF11" s="26">
        <f t="shared" si="4"/>
        <v>4</v>
      </c>
      <c r="AG11" s="1">
        <v>1</v>
      </c>
      <c r="AH11" s="1">
        <v>1</v>
      </c>
      <c r="AI11" s="1">
        <v>0</v>
      </c>
      <c r="AJ11" s="1">
        <v>0</v>
      </c>
      <c r="AK11" s="1">
        <v>1</v>
      </c>
      <c r="AL11" s="26">
        <f t="shared" si="5"/>
        <v>3</v>
      </c>
      <c r="AM11" s="22">
        <f t="shared" si="6"/>
        <v>39</v>
      </c>
      <c r="AN11" s="19" t="s">
        <v>36</v>
      </c>
      <c r="AO11" s="1">
        <v>0</v>
      </c>
      <c r="AP11" s="1">
        <v>45</v>
      </c>
      <c r="AQ11" s="1">
        <f t="shared" si="7"/>
        <v>0.75</v>
      </c>
      <c r="AR11" s="1" t="s">
        <v>206</v>
      </c>
      <c r="AS11" s="1">
        <v>250</v>
      </c>
      <c r="AT11" s="1">
        <f t="shared" si="8"/>
        <v>250</v>
      </c>
      <c r="AU11" s="1" t="s">
        <v>208</v>
      </c>
      <c r="AV11" s="1">
        <v>4.5</v>
      </c>
      <c r="AW11" s="1">
        <v>4.5</v>
      </c>
      <c r="AX11" s="1">
        <v>3.8</v>
      </c>
      <c r="AY11" s="1">
        <v>18.788</v>
      </c>
      <c r="AZ11" s="12">
        <v>98.9983</v>
      </c>
    </row>
    <row r="12" spans="1:52" ht="15.75">
      <c r="A12" s="11">
        <v>10</v>
      </c>
      <c r="B12" s="19" t="s">
        <v>37</v>
      </c>
      <c r="C12" s="11">
        <v>1</v>
      </c>
      <c r="D12" s="1">
        <v>1</v>
      </c>
      <c r="E12" s="1">
        <v>1</v>
      </c>
      <c r="F12" s="1">
        <v>1</v>
      </c>
      <c r="G12" s="12">
        <v>1</v>
      </c>
      <c r="H12" s="26">
        <f t="shared" si="0"/>
        <v>5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26">
        <f t="shared" si="1"/>
        <v>5</v>
      </c>
      <c r="O12" s="11">
        <v>0</v>
      </c>
      <c r="P12" s="1">
        <v>1</v>
      </c>
      <c r="Q12" s="1">
        <v>1</v>
      </c>
      <c r="R12" s="1">
        <v>0</v>
      </c>
      <c r="S12" s="12">
        <v>0</v>
      </c>
      <c r="T12" s="26">
        <f t="shared" si="2"/>
        <v>2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26">
        <f t="shared" si="3"/>
        <v>5</v>
      </c>
      <c r="AA12" s="11">
        <v>1</v>
      </c>
      <c r="AB12" s="1">
        <v>1</v>
      </c>
      <c r="AC12" s="1">
        <v>0</v>
      </c>
      <c r="AD12" s="1">
        <v>0</v>
      </c>
      <c r="AE12" s="12">
        <v>0</v>
      </c>
      <c r="AF12" s="26">
        <f t="shared" si="4"/>
        <v>2</v>
      </c>
      <c r="AG12" s="1">
        <v>1</v>
      </c>
      <c r="AH12" s="1">
        <v>1</v>
      </c>
      <c r="AI12" s="1">
        <v>0</v>
      </c>
      <c r="AJ12" s="1">
        <v>0</v>
      </c>
      <c r="AK12" s="1">
        <v>1</v>
      </c>
      <c r="AL12" s="26">
        <f t="shared" si="5"/>
        <v>3</v>
      </c>
      <c r="AM12" s="22">
        <f t="shared" si="6"/>
        <v>41</v>
      </c>
      <c r="AN12" s="19" t="s">
        <v>28</v>
      </c>
      <c r="AO12" s="1">
        <v>0</v>
      </c>
      <c r="AP12" s="1">
        <v>45</v>
      </c>
      <c r="AQ12" s="1">
        <f t="shared" si="7"/>
        <v>0.75</v>
      </c>
      <c r="AR12" s="1" t="s">
        <v>206</v>
      </c>
      <c r="AS12" s="1">
        <v>250</v>
      </c>
      <c r="AT12" s="1">
        <f t="shared" si="8"/>
        <v>250</v>
      </c>
      <c r="AU12" s="1" t="s">
        <v>208</v>
      </c>
      <c r="AV12" s="1">
        <v>4.5999999999999996</v>
      </c>
      <c r="AW12" s="1">
        <v>4.9000000000000004</v>
      </c>
      <c r="AX12" s="1">
        <v>4.2</v>
      </c>
      <c r="AY12" s="1">
        <v>18.792400000000001</v>
      </c>
      <c r="AZ12" s="12">
        <v>99.003399999999999</v>
      </c>
    </row>
    <row r="13" spans="1:52" ht="15.75">
      <c r="A13" s="11">
        <v>11</v>
      </c>
      <c r="B13" s="19" t="s">
        <v>38</v>
      </c>
      <c r="C13" s="11">
        <v>1</v>
      </c>
      <c r="D13" s="1">
        <v>1</v>
      </c>
      <c r="E13" s="1">
        <v>1</v>
      </c>
      <c r="F13" s="1">
        <v>1</v>
      </c>
      <c r="G13" s="12">
        <v>1</v>
      </c>
      <c r="H13" s="26">
        <f t="shared" si="0"/>
        <v>5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26">
        <f t="shared" si="1"/>
        <v>5</v>
      </c>
      <c r="O13" s="11">
        <v>1</v>
      </c>
      <c r="P13" s="1">
        <v>1</v>
      </c>
      <c r="Q13" s="1">
        <v>1</v>
      </c>
      <c r="R13" s="1">
        <v>1</v>
      </c>
      <c r="S13" s="12">
        <v>1</v>
      </c>
      <c r="T13" s="26">
        <f t="shared" si="2"/>
        <v>5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26">
        <f t="shared" si="3"/>
        <v>5</v>
      </c>
      <c r="AA13" s="11">
        <v>1</v>
      </c>
      <c r="AB13" s="1">
        <v>1</v>
      </c>
      <c r="AC13" s="1">
        <v>0</v>
      </c>
      <c r="AD13" s="1">
        <v>1</v>
      </c>
      <c r="AE13" s="12">
        <v>1</v>
      </c>
      <c r="AF13" s="26">
        <f t="shared" si="4"/>
        <v>4</v>
      </c>
      <c r="AG13" s="1">
        <v>1</v>
      </c>
      <c r="AH13" s="1">
        <v>1</v>
      </c>
      <c r="AI13" s="1">
        <v>0</v>
      </c>
      <c r="AJ13" s="1">
        <v>0</v>
      </c>
      <c r="AK13" s="1">
        <v>1</v>
      </c>
      <c r="AL13" s="26">
        <f t="shared" si="5"/>
        <v>3</v>
      </c>
      <c r="AM13" s="22">
        <f t="shared" si="6"/>
        <v>51</v>
      </c>
      <c r="AN13" s="19" t="s">
        <v>39</v>
      </c>
      <c r="AO13" s="1">
        <v>90</v>
      </c>
      <c r="AP13" s="1">
        <v>1.5</v>
      </c>
      <c r="AQ13" s="1">
        <f t="shared" si="7"/>
        <v>1.5</v>
      </c>
      <c r="AR13" s="1" t="s">
        <v>205</v>
      </c>
      <c r="AS13" s="1">
        <v>300</v>
      </c>
      <c r="AT13" s="1">
        <f t="shared" si="8"/>
        <v>300</v>
      </c>
      <c r="AU13" s="1" t="s">
        <v>208</v>
      </c>
      <c r="AV13" s="1">
        <v>4.5</v>
      </c>
      <c r="AW13" s="1">
        <v>4.2</v>
      </c>
      <c r="AX13" s="1">
        <v>4.0999999999999996</v>
      </c>
      <c r="AY13" s="1">
        <v>18.788900000000002</v>
      </c>
      <c r="AZ13" s="12">
        <v>98.990799999999993</v>
      </c>
    </row>
    <row r="14" spans="1:52" ht="15.75">
      <c r="A14" s="11">
        <v>12</v>
      </c>
      <c r="B14" s="19" t="s">
        <v>40</v>
      </c>
      <c r="C14" s="11">
        <v>1</v>
      </c>
      <c r="D14" s="1">
        <v>1</v>
      </c>
      <c r="E14" s="1">
        <v>1</v>
      </c>
      <c r="F14" s="1">
        <v>1</v>
      </c>
      <c r="G14" s="12">
        <v>1</v>
      </c>
      <c r="H14" s="26">
        <f t="shared" si="0"/>
        <v>5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26">
        <f t="shared" si="1"/>
        <v>5</v>
      </c>
      <c r="O14" s="11">
        <v>1</v>
      </c>
      <c r="P14" s="1">
        <v>1</v>
      </c>
      <c r="Q14" s="1">
        <v>1</v>
      </c>
      <c r="R14" s="1">
        <v>1</v>
      </c>
      <c r="S14" s="12">
        <v>1</v>
      </c>
      <c r="T14" s="26">
        <f t="shared" si="2"/>
        <v>5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26">
        <f t="shared" si="3"/>
        <v>5</v>
      </c>
      <c r="AA14" s="11">
        <v>1</v>
      </c>
      <c r="AB14" s="1">
        <v>1</v>
      </c>
      <c r="AC14" s="1">
        <v>0</v>
      </c>
      <c r="AD14" s="1">
        <v>1</v>
      </c>
      <c r="AE14" s="12">
        <v>1</v>
      </c>
      <c r="AF14" s="26">
        <f t="shared" si="4"/>
        <v>4</v>
      </c>
      <c r="AG14" s="1">
        <v>1</v>
      </c>
      <c r="AH14" s="1">
        <v>1</v>
      </c>
      <c r="AI14" s="1">
        <v>0</v>
      </c>
      <c r="AJ14" s="1">
        <v>0</v>
      </c>
      <c r="AK14" s="1">
        <v>1</v>
      </c>
      <c r="AL14" s="26">
        <f t="shared" si="5"/>
        <v>3</v>
      </c>
      <c r="AM14" s="22">
        <f t="shared" si="6"/>
        <v>51</v>
      </c>
      <c r="AN14" s="19" t="s">
        <v>39</v>
      </c>
      <c r="AO14" s="1">
        <v>20</v>
      </c>
      <c r="AP14" s="1">
        <v>1.5</v>
      </c>
      <c r="AQ14" s="1">
        <f t="shared" si="7"/>
        <v>1.5</v>
      </c>
      <c r="AR14" s="1" t="s">
        <v>205</v>
      </c>
      <c r="AS14" s="1">
        <v>300</v>
      </c>
      <c r="AT14" s="1">
        <f t="shared" si="8"/>
        <v>300</v>
      </c>
      <c r="AU14" s="1" t="s">
        <v>208</v>
      </c>
      <c r="AV14" s="1">
        <v>4.3</v>
      </c>
      <c r="AW14" s="1">
        <v>4.3</v>
      </c>
      <c r="AX14" s="1">
        <v>4.5999999999999996</v>
      </c>
      <c r="AY14" s="1">
        <v>18.790199999999999</v>
      </c>
      <c r="AZ14" s="12">
        <v>98.988399999999999</v>
      </c>
    </row>
    <row r="15" spans="1:52" ht="15.75">
      <c r="A15" s="11">
        <v>13</v>
      </c>
      <c r="B15" s="19" t="s">
        <v>41</v>
      </c>
      <c r="C15" s="11">
        <v>1</v>
      </c>
      <c r="D15" s="1">
        <v>1</v>
      </c>
      <c r="E15" s="1">
        <v>1</v>
      </c>
      <c r="F15" s="1">
        <v>1</v>
      </c>
      <c r="G15" s="12">
        <v>1</v>
      </c>
      <c r="H15" s="26">
        <f t="shared" si="0"/>
        <v>5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26">
        <f t="shared" si="1"/>
        <v>5</v>
      </c>
      <c r="O15" s="11">
        <v>1</v>
      </c>
      <c r="P15" s="1">
        <v>1</v>
      </c>
      <c r="Q15" s="1">
        <v>1</v>
      </c>
      <c r="R15" s="1">
        <v>0</v>
      </c>
      <c r="S15" s="12">
        <v>1</v>
      </c>
      <c r="T15" s="26">
        <f t="shared" si="2"/>
        <v>4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26">
        <f t="shared" si="3"/>
        <v>5</v>
      </c>
      <c r="AA15" s="11">
        <v>1</v>
      </c>
      <c r="AB15" s="1">
        <v>1</v>
      </c>
      <c r="AC15" s="1">
        <v>0</v>
      </c>
      <c r="AD15" s="1">
        <v>1</v>
      </c>
      <c r="AE15" s="12">
        <v>1</v>
      </c>
      <c r="AF15" s="26">
        <f t="shared" si="4"/>
        <v>4</v>
      </c>
      <c r="AG15" s="1">
        <v>1</v>
      </c>
      <c r="AH15" s="1">
        <v>1</v>
      </c>
      <c r="AI15" s="1">
        <v>0</v>
      </c>
      <c r="AJ15" s="1">
        <v>0</v>
      </c>
      <c r="AK15" s="1">
        <v>1</v>
      </c>
      <c r="AL15" s="26">
        <f t="shared" si="5"/>
        <v>3</v>
      </c>
      <c r="AM15" s="22">
        <f t="shared" si="6"/>
        <v>49</v>
      </c>
      <c r="AN15" s="19" t="s">
        <v>42</v>
      </c>
      <c r="AO15" s="1">
        <v>20</v>
      </c>
      <c r="AP15" s="1">
        <v>1</v>
      </c>
      <c r="AQ15" s="1">
        <f t="shared" si="7"/>
        <v>1</v>
      </c>
      <c r="AR15" s="1" t="s">
        <v>205</v>
      </c>
      <c r="AS15" s="1">
        <v>200</v>
      </c>
      <c r="AT15" s="1">
        <f t="shared" si="8"/>
        <v>200</v>
      </c>
      <c r="AU15" s="1" t="s">
        <v>208</v>
      </c>
      <c r="AV15" s="1">
        <v>4.2</v>
      </c>
      <c r="AW15" s="1">
        <v>4.4000000000000004</v>
      </c>
      <c r="AX15" s="1">
        <v>3.6</v>
      </c>
      <c r="AY15" s="1">
        <v>18.811199999999999</v>
      </c>
      <c r="AZ15" s="20">
        <v>98.976399999999998</v>
      </c>
    </row>
    <row r="16" spans="1:52" ht="15.75">
      <c r="A16" s="11">
        <v>14</v>
      </c>
      <c r="B16" s="19" t="s">
        <v>44</v>
      </c>
      <c r="C16" s="11">
        <v>1</v>
      </c>
      <c r="D16" s="1">
        <v>1</v>
      </c>
      <c r="E16" s="1">
        <v>1</v>
      </c>
      <c r="F16" s="1">
        <v>0</v>
      </c>
      <c r="G16" s="12">
        <v>1</v>
      </c>
      <c r="H16" s="26">
        <f t="shared" si="0"/>
        <v>4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26">
        <f t="shared" si="1"/>
        <v>5</v>
      </c>
      <c r="O16" s="11">
        <v>1</v>
      </c>
      <c r="P16" s="1">
        <v>0</v>
      </c>
      <c r="Q16" s="1">
        <v>1</v>
      </c>
      <c r="R16" s="1">
        <v>0</v>
      </c>
      <c r="S16" s="12">
        <v>0</v>
      </c>
      <c r="T16" s="26">
        <f t="shared" si="2"/>
        <v>2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26">
        <f t="shared" si="3"/>
        <v>5</v>
      </c>
      <c r="AA16" s="11">
        <v>1</v>
      </c>
      <c r="AB16" s="1">
        <v>1</v>
      </c>
      <c r="AC16" s="1">
        <v>0</v>
      </c>
      <c r="AD16" s="1">
        <v>1</v>
      </c>
      <c r="AE16" s="12">
        <v>1</v>
      </c>
      <c r="AF16" s="26">
        <f t="shared" si="4"/>
        <v>4</v>
      </c>
      <c r="AG16" s="1">
        <v>1</v>
      </c>
      <c r="AH16" s="1">
        <v>1</v>
      </c>
      <c r="AI16" s="1">
        <v>1</v>
      </c>
      <c r="AJ16" s="1">
        <v>0</v>
      </c>
      <c r="AK16" s="1">
        <v>1</v>
      </c>
      <c r="AL16" s="26">
        <f t="shared" si="5"/>
        <v>4</v>
      </c>
      <c r="AM16" s="22">
        <f t="shared" si="6"/>
        <v>44</v>
      </c>
      <c r="AN16" s="19" t="s">
        <v>45</v>
      </c>
      <c r="AO16" s="1">
        <v>0</v>
      </c>
      <c r="AP16" s="1">
        <v>1</v>
      </c>
      <c r="AQ16" s="1">
        <f t="shared" si="7"/>
        <v>1</v>
      </c>
      <c r="AR16" s="1" t="s">
        <v>205</v>
      </c>
      <c r="AS16" s="1">
        <v>200</v>
      </c>
      <c r="AT16" s="1">
        <f t="shared" si="8"/>
        <v>200</v>
      </c>
      <c r="AU16" s="1" t="s">
        <v>208</v>
      </c>
      <c r="AV16" s="1">
        <v>4.3</v>
      </c>
      <c r="AW16" s="1">
        <v>4.5999999999999996</v>
      </c>
      <c r="AX16" s="1"/>
      <c r="AY16" s="1">
        <v>18.821400000000001</v>
      </c>
      <c r="AZ16" s="12">
        <v>98.974699999999999</v>
      </c>
    </row>
    <row r="17" spans="1:52" ht="15.75">
      <c r="A17" s="11">
        <v>15</v>
      </c>
      <c r="B17" s="19" t="s">
        <v>46</v>
      </c>
      <c r="C17" s="1">
        <v>1</v>
      </c>
      <c r="D17" s="1">
        <v>1</v>
      </c>
      <c r="E17" s="1">
        <v>1</v>
      </c>
      <c r="F17" s="1">
        <v>0</v>
      </c>
      <c r="G17" s="12">
        <v>1</v>
      </c>
      <c r="H17" s="26">
        <f t="shared" si="0"/>
        <v>4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26">
        <f t="shared" si="1"/>
        <v>5</v>
      </c>
      <c r="O17" s="11">
        <v>1</v>
      </c>
      <c r="P17" s="1">
        <v>1</v>
      </c>
      <c r="Q17" s="1">
        <v>1</v>
      </c>
      <c r="R17" s="1">
        <v>0</v>
      </c>
      <c r="S17" s="12">
        <v>1</v>
      </c>
      <c r="T17" s="26">
        <f t="shared" si="2"/>
        <v>4</v>
      </c>
      <c r="U17" s="1">
        <v>1</v>
      </c>
      <c r="V17" s="1">
        <v>0</v>
      </c>
      <c r="W17" s="1">
        <v>1</v>
      </c>
      <c r="X17" s="1">
        <v>1</v>
      </c>
      <c r="Y17" s="1">
        <v>1</v>
      </c>
      <c r="Z17" s="26">
        <f t="shared" si="3"/>
        <v>4</v>
      </c>
      <c r="AA17" s="11">
        <v>0</v>
      </c>
      <c r="AB17" s="1">
        <v>0</v>
      </c>
      <c r="AC17" s="1">
        <v>0</v>
      </c>
      <c r="AD17" s="1">
        <v>1</v>
      </c>
      <c r="AE17" s="12">
        <v>1</v>
      </c>
      <c r="AF17" s="26">
        <f t="shared" si="4"/>
        <v>2</v>
      </c>
      <c r="AG17" s="1">
        <v>1</v>
      </c>
      <c r="AH17" s="1">
        <v>1</v>
      </c>
      <c r="AI17" s="1">
        <v>0</v>
      </c>
      <c r="AJ17" s="1">
        <v>0</v>
      </c>
      <c r="AK17" s="1">
        <v>0</v>
      </c>
      <c r="AL17" s="26">
        <f t="shared" si="5"/>
        <v>2</v>
      </c>
      <c r="AM17" s="22">
        <f t="shared" si="6"/>
        <v>40</v>
      </c>
      <c r="AN17" s="19" t="s">
        <v>47</v>
      </c>
      <c r="AO17" s="1">
        <v>150</v>
      </c>
      <c r="AP17" s="1">
        <v>1.5</v>
      </c>
      <c r="AQ17" s="1">
        <f t="shared" si="7"/>
        <v>1.5</v>
      </c>
      <c r="AR17" s="1" t="s">
        <v>205</v>
      </c>
      <c r="AS17" s="1">
        <v>300</v>
      </c>
      <c r="AT17" s="1">
        <f t="shared" si="8"/>
        <v>300</v>
      </c>
      <c r="AU17" s="1" t="s">
        <v>208</v>
      </c>
      <c r="AV17" s="1">
        <v>4.4000000000000004</v>
      </c>
      <c r="AW17" s="1">
        <v>4.8</v>
      </c>
      <c r="AX17" s="1">
        <v>4</v>
      </c>
      <c r="AY17" s="1">
        <v>18.757200000000001</v>
      </c>
      <c r="AZ17" s="12">
        <v>99.093699999999998</v>
      </c>
    </row>
    <row r="18" spans="1:52" ht="15.75">
      <c r="A18" s="11">
        <v>16</v>
      </c>
      <c r="B18" s="19" t="s">
        <v>48</v>
      </c>
      <c r="C18" s="1">
        <v>1</v>
      </c>
      <c r="D18" s="1">
        <v>1</v>
      </c>
      <c r="E18" s="1">
        <v>1</v>
      </c>
      <c r="F18" s="1">
        <v>1</v>
      </c>
      <c r="G18" s="12">
        <v>1</v>
      </c>
      <c r="H18" s="26">
        <f t="shared" si="0"/>
        <v>5</v>
      </c>
      <c r="I18" s="1">
        <v>0</v>
      </c>
      <c r="J18" s="1">
        <v>1</v>
      </c>
      <c r="K18" s="1">
        <v>1</v>
      </c>
      <c r="L18" s="1">
        <v>1</v>
      </c>
      <c r="M18" s="1">
        <v>1</v>
      </c>
      <c r="N18" s="26">
        <f t="shared" si="1"/>
        <v>4</v>
      </c>
      <c r="O18" s="11">
        <v>1</v>
      </c>
      <c r="P18" s="1">
        <v>1</v>
      </c>
      <c r="Q18" s="1">
        <v>1</v>
      </c>
      <c r="R18" s="1">
        <v>1</v>
      </c>
      <c r="S18" s="12">
        <v>1</v>
      </c>
      <c r="T18" s="26">
        <f t="shared" si="2"/>
        <v>5</v>
      </c>
      <c r="U18" s="1">
        <v>1</v>
      </c>
      <c r="V18" s="1">
        <v>0</v>
      </c>
      <c r="W18" s="1">
        <v>1</v>
      </c>
      <c r="X18" s="1">
        <v>1</v>
      </c>
      <c r="Y18" s="1">
        <v>1</v>
      </c>
      <c r="Z18" s="26">
        <f t="shared" si="3"/>
        <v>4</v>
      </c>
      <c r="AA18" s="11">
        <v>0</v>
      </c>
      <c r="AB18" s="1">
        <v>0</v>
      </c>
      <c r="AC18" s="1">
        <v>0</v>
      </c>
      <c r="AD18" s="1">
        <v>0</v>
      </c>
      <c r="AE18" s="12">
        <v>0</v>
      </c>
      <c r="AF18" s="26">
        <f t="shared" si="4"/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26">
        <f t="shared" si="5"/>
        <v>1</v>
      </c>
      <c r="AM18" s="22">
        <f t="shared" si="6"/>
        <v>37</v>
      </c>
      <c r="AN18" s="19" t="s">
        <v>49</v>
      </c>
      <c r="AO18" s="1">
        <v>200</v>
      </c>
      <c r="AP18" s="1">
        <v>2</v>
      </c>
      <c r="AQ18" s="1">
        <f t="shared" si="7"/>
        <v>2</v>
      </c>
      <c r="AR18" s="1" t="s">
        <v>205</v>
      </c>
      <c r="AS18" s="1">
        <v>500</v>
      </c>
      <c r="AT18" s="1">
        <f t="shared" si="8"/>
        <v>500</v>
      </c>
      <c r="AU18" s="1" t="s">
        <v>208</v>
      </c>
      <c r="AV18" s="1">
        <v>4.5</v>
      </c>
      <c r="AW18" s="1">
        <v>4.7</v>
      </c>
      <c r="AX18" s="1">
        <v>4</v>
      </c>
      <c r="AY18" s="1">
        <v>18.782800000000002</v>
      </c>
      <c r="AZ18" s="20">
        <v>99.000299999999996</v>
      </c>
    </row>
    <row r="19" spans="1:52" ht="15.75">
      <c r="A19" s="11">
        <v>17</v>
      </c>
      <c r="B19" s="19" t="s">
        <v>51</v>
      </c>
      <c r="C19" s="11">
        <v>1</v>
      </c>
      <c r="D19" s="1">
        <v>1</v>
      </c>
      <c r="E19" s="1">
        <v>1</v>
      </c>
      <c r="F19" s="1">
        <v>1</v>
      </c>
      <c r="G19" s="12">
        <v>1</v>
      </c>
      <c r="H19" s="26">
        <f t="shared" si="0"/>
        <v>5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26">
        <f t="shared" si="1"/>
        <v>5</v>
      </c>
      <c r="O19" s="11">
        <v>1</v>
      </c>
      <c r="P19" s="1">
        <v>1</v>
      </c>
      <c r="Q19" s="1">
        <v>1</v>
      </c>
      <c r="R19" s="1">
        <v>1</v>
      </c>
      <c r="S19" s="12">
        <v>1</v>
      </c>
      <c r="T19" s="26">
        <f t="shared" si="2"/>
        <v>5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26">
        <f t="shared" si="3"/>
        <v>5</v>
      </c>
      <c r="AA19" s="11">
        <v>1</v>
      </c>
      <c r="AB19" s="1">
        <v>1</v>
      </c>
      <c r="AC19" s="1">
        <v>0</v>
      </c>
      <c r="AD19" s="1">
        <v>1</v>
      </c>
      <c r="AE19" s="12">
        <v>1</v>
      </c>
      <c r="AF19" s="26">
        <f t="shared" si="4"/>
        <v>4</v>
      </c>
      <c r="AG19" s="1">
        <v>1</v>
      </c>
      <c r="AH19" s="1">
        <v>1</v>
      </c>
      <c r="AI19" s="1">
        <v>0</v>
      </c>
      <c r="AJ19" s="1">
        <v>0</v>
      </c>
      <c r="AK19" s="1">
        <v>1</v>
      </c>
      <c r="AL19" s="26">
        <f t="shared" si="5"/>
        <v>3</v>
      </c>
      <c r="AM19" s="22">
        <f t="shared" si="6"/>
        <v>51</v>
      </c>
      <c r="AN19" s="19" t="s">
        <v>52</v>
      </c>
      <c r="AO19" s="1">
        <v>20</v>
      </c>
      <c r="AP19" s="1">
        <v>1</v>
      </c>
      <c r="AQ19" s="1">
        <f t="shared" si="7"/>
        <v>1</v>
      </c>
      <c r="AR19" s="1" t="s">
        <v>205</v>
      </c>
      <c r="AS19" s="1">
        <v>200</v>
      </c>
      <c r="AT19" s="1">
        <f t="shared" si="8"/>
        <v>200</v>
      </c>
      <c r="AU19" s="1" t="s">
        <v>208</v>
      </c>
      <c r="AV19" s="1">
        <v>4.2</v>
      </c>
      <c r="AW19" s="1">
        <v>5</v>
      </c>
      <c r="AX19" s="1">
        <v>4.4000000000000004</v>
      </c>
      <c r="AY19" s="1">
        <v>18.790199999999999</v>
      </c>
      <c r="AZ19" s="12">
        <v>98.9863</v>
      </c>
    </row>
    <row r="20" spans="1:52" ht="15.75">
      <c r="A20" s="11">
        <v>18</v>
      </c>
      <c r="B20" s="19" t="s">
        <v>53</v>
      </c>
      <c r="C20" s="11">
        <v>0</v>
      </c>
      <c r="D20" s="1">
        <v>1</v>
      </c>
      <c r="E20" s="1">
        <v>1</v>
      </c>
      <c r="F20" s="1">
        <v>0</v>
      </c>
      <c r="G20" s="12">
        <v>1</v>
      </c>
      <c r="H20" s="26">
        <f t="shared" si="0"/>
        <v>3</v>
      </c>
      <c r="I20" s="1">
        <v>0</v>
      </c>
      <c r="J20" s="1">
        <v>1</v>
      </c>
      <c r="K20" s="1">
        <v>1</v>
      </c>
      <c r="L20" s="1">
        <v>0</v>
      </c>
      <c r="M20" s="1">
        <v>0</v>
      </c>
      <c r="N20" s="26">
        <f t="shared" si="1"/>
        <v>2</v>
      </c>
      <c r="O20" s="11">
        <v>0</v>
      </c>
      <c r="P20" s="1">
        <v>0</v>
      </c>
      <c r="Q20" s="1">
        <v>0</v>
      </c>
      <c r="R20" s="1">
        <v>0</v>
      </c>
      <c r="S20" s="12">
        <v>0</v>
      </c>
      <c r="T20" s="26">
        <f t="shared" si="2"/>
        <v>0</v>
      </c>
      <c r="U20" s="1">
        <v>1</v>
      </c>
      <c r="V20" s="1">
        <v>0</v>
      </c>
      <c r="W20" s="1">
        <v>1</v>
      </c>
      <c r="X20" s="1">
        <v>1</v>
      </c>
      <c r="Y20" s="1">
        <v>1</v>
      </c>
      <c r="Z20" s="26">
        <f t="shared" si="3"/>
        <v>4</v>
      </c>
      <c r="AA20" s="11">
        <v>0</v>
      </c>
      <c r="AB20" s="1">
        <v>0</v>
      </c>
      <c r="AC20" s="1">
        <v>0</v>
      </c>
      <c r="AD20" s="1">
        <v>0</v>
      </c>
      <c r="AE20" s="12">
        <v>1</v>
      </c>
      <c r="AF20" s="26">
        <f t="shared" si="4"/>
        <v>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26">
        <f t="shared" si="5"/>
        <v>0</v>
      </c>
      <c r="AM20" s="22">
        <f t="shared" si="6"/>
        <v>20</v>
      </c>
      <c r="AN20" s="19" t="s">
        <v>54</v>
      </c>
      <c r="AO20" s="1">
        <v>200</v>
      </c>
      <c r="AP20" s="1">
        <v>1</v>
      </c>
      <c r="AQ20" s="1">
        <f t="shared" si="7"/>
        <v>1</v>
      </c>
      <c r="AR20" s="1" t="s">
        <v>205</v>
      </c>
      <c r="AS20" s="1">
        <v>150</v>
      </c>
      <c r="AT20" s="1">
        <f t="shared" si="8"/>
        <v>150</v>
      </c>
      <c r="AU20" s="1" t="s">
        <v>208</v>
      </c>
      <c r="AV20" s="1">
        <v>4.3</v>
      </c>
      <c r="AW20" s="1">
        <v>4.3</v>
      </c>
      <c r="AX20" s="1"/>
      <c r="AY20" s="1">
        <v>18.796099999999999</v>
      </c>
      <c r="AZ20" s="12">
        <v>98.970600000000005</v>
      </c>
    </row>
    <row r="21" spans="1:52" ht="15.75">
      <c r="A21" s="11">
        <v>19</v>
      </c>
      <c r="B21" s="19" t="s">
        <v>56</v>
      </c>
      <c r="C21" s="1">
        <v>1</v>
      </c>
      <c r="D21" s="1">
        <v>1</v>
      </c>
      <c r="E21" s="1">
        <v>1</v>
      </c>
      <c r="F21" s="1">
        <v>0</v>
      </c>
      <c r="G21" s="12">
        <v>1</v>
      </c>
      <c r="H21" s="26">
        <f t="shared" si="0"/>
        <v>4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26">
        <f t="shared" si="1"/>
        <v>5</v>
      </c>
      <c r="O21" s="11">
        <v>0</v>
      </c>
      <c r="P21" s="1">
        <v>0</v>
      </c>
      <c r="Q21" s="1">
        <v>0</v>
      </c>
      <c r="R21" s="1">
        <v>0</v>
      </c>
      <c r="S21" s="12">
        <v>0</v>
      </c>
      <c r="T21" s="26">
        <f t="shared" si="2"/>
        <v>0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26">
        <f t="shared" si="3"/>
        <v>5</v>
      </c>
      <c r="AA21" s="11">
        <v>1</v>
      </c>
      <c r="AB21" s="1">
        <v>1</v>
      </c>
      <c r="AC21" s="1">
        <v>0</v>
      </c>
      <c r="AD21" s="1">
        <v>1</v>
      </c>
      <c r="AE21" s="12">
        <v>1</v>
      </c>
      <c r="AF21" s="26">
        <f t="shared" si="4"/>
        <v>4</v>
      </c>
      <c r="AG21" s="1">
        <v>1</v>
      </c>
      <c r="AH21" s="1">
        <v>1</v>
      </c>
      <c r="AI21" s="1">
        <v>1</v>
      </c>
      <c r="AJ21" s="1">
        <v>0</v>
      </c>
      <c r="AK21" s="1">
        <v>1</v>
      </c>
      <c r="AL21" s="26">
        <f t="shared" si="5"/>
        <v>4</v>
      </c>
      <c r="AM21" s="22">
        <f t="shared" si="6"/>
        <v>40</v>
      </c>
      <c r="AN21" s="19" t="s">
        <v>57</v>
      </c>
      <c r="AO21" s="1">
        <v>20</v>
      </c>
      <c r="AP21" s="1">
        <v>1</v>
      </c>
      <c r="AQ21" s="1">
        <f t="shared" si="7"/>
        <v>1</v>
      </c>
      <c r="AR21" s="1" t="s">
        <v>205</v>
      </c>
      <c r="AS21" s="1">
        <v>200</v>
      </c>
      <c r="AT21" s="1">
        <f t="shared" si="8"/>
        <v>200</v>
      </c>
      <c r="AU21" s="1" t="s">
        <v>208</v>
      </c>
      <c r="AV21" s="1">
        <v>4.7</v>
      </c>
      <c r="AW21" s="1">
        <v>5</v>
      </c>
      <c r="AX21" s="1">
        <v>4.2</v>
      </c>
      <c r="AY21" s="1">
        <v>18.931000000000001</v>
      </c>
      <c r="AZ21" s="20">
        <v>98.891999999999996</v>
      </c>
    </row>
    <row r="22" spans="1:52" ht="15.75">
      <c r="A22" s="11">
        <v>20</v>
      </c>
      <c r="B22" s="19" t="s">
        <v>58</v>
      </c>
      <c r="C22" s="11">
        <v>1</v>
      </c>
      <c r="D22" s="1">
        <v>1</v>
      </c>
      <c r="E22" s="1">
        <v>1</v>
      </c>
      <c r="F22" s="1">
        <v>0</v>
      </c>
      <c r="G22" s="12">
        <v>1</v>
      </c>
      <c r="H22" s="26">
        <f t="shared" si="0"/>
        <v>4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26">
        <f t="shared" si="1"/>
        <v>5</v>
      </c>
      <c r="O22" s="11">
        <v>1</v>
      </c>
      <c r="P22" s="1">
        <v>0</v>
      </c>
      <c r="Q22" s="1">
        <v>1</v>
      </c>
      <c r="R22" s="1">
        <v>0</v>
      </c>
      <c r="S22" s="12">
        <v>0</v>
      </c>
      <c r="T22" s="26">
        <f t="shared" si="2"/>
        <v>2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26">
        <f t="shared" si="3"/>
        <v>5</v>
      </c>
      <c r="AA22" s="11">
        <v>1</v>
      </c>
      <c r="AB22" s="1">
        <v>1</v>
      </c>
      <c r="AC22" s="1">
        <v>0</v>
      </c>
      <c r="AD22" s="1">
        <v>1</v>
      </c>
      <c r="AE22" s="12">
        <v>1</v>
      </c>
      <c r="AF22" s="26">
        <f t="shared" si="4"/>
        <v>4</v>
      </c>
      <c r="AG22" s="1">
        <v>1</v>
      </c>
      <c r="AH22" s="1">
        <v>1</v>
      </c>
      <c r="AI22" s="1">
        <v>1</v>
      </c>
      <c r="AJ22" s="1">
        <v>0</v>
      </c>
      <c r="AK22" s="1">
        <v>1</v>
      </c>
      <c r="AL22" s="26">
        <f t="shared" si="5"/>
        <v>4</v>
      </c>
      <c r="AM22" s="22">
        <f t="shared" si="6"/>
        <v>44</v>
      </c>
      <c r="AN22" s="19" t="s">
        <v>42</v>
      </c>
      <c r="AO22" s="1">
        <v>0</v>
      </c>
      <c r="AP22" s="1">
        <v>1</v>
      </c>
      <c r="AQ22" s="1">
        <f t="shared" si="7"/>
        <v>1</v>
      </c>
      <c r="AR22" s="1" t="s">
        <v>205</v>
      </c>
      <c r="AS22" s="1">
        <v>200</v>
      </c>
      <c r="AT22" s="1">
        <f t="shared" si="8"/>
        <v>200</v>
      </c>
      <c r="AU22" s="1" t="s">
        <v>208</v>
      </c>
      <c r="AV22" s="1">
        <v>3.6</v>
      </c>
      <c r="AW22" s="1"/>
      <c r="AX22" s="1"/>
      <c r="AY22" s="1">
        <v>18.821400000000001</v>
      </c>
      <c r="AZ22" s="12">
        <v>98.974699999999999</v>
      </c>
    </row>
    <row r="23" spans="1:52" ht="15.75">
      <c r="A23" s="11">
        <v>21</v>
      </c>
      <c r="B23" s="19" t="s">
        <v>59</v>
      </c>
      <c r="C23" s="11">
        <v>1</v>
      </c>
      <c r="D23" s="1">
        <v>1</v>
      </c>
      <c r="E23" s="1">
        <v>1</v>
      </c>
      <c r="F23" s="1">
        <v>0</v>
      </c>
      <c r="G23" s="12">
        <v>0</v>
      </c>
      <c r="H23" s="26">
        <f t="shared" si="0"/>
        <v>3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26">
        <f t="shared" si="1"/>
        <v>5</v>
      </c>
      <c r="O23" s="11">
        <v>0</v>
      </c>
      <c r="P23" s="1">
        <v>0</v>
      </c>
      <c r="Q23" s="1">
        <v>1</v>
      </c>
      <c r="R23" s="1">
        <v>0</v>
      </c>
      <c r="S23" s="12">
        <v>0</v>
      </c>
      <c r="T23" s="26">
        <f t="shared" si="2"/>
        <v>1</v>
      </c>
      <c r="U23" s="1">
        <v>0</v>
      </c>
      <c r="V23" s="1">
        <v>1</v>
      </c>
      <c r="W23" s="1">
        <v>0</v>
      </c>
      <c r="X23" s="1">
        <v>1</v>
      </c>
      <c r="Y23" s="1">
        <v>0</v>
      </c>
      <c r="Z23" s="26">
        <f t="shared" si="3"/>
        <v>2</v>
      </c>
      <c r="AA23" s="11">
        <v>0</v>
      </c>
      <c r="AB23" s="1">
        <v>1</v>
      </c>
      <c r="AC23" s="1">
        <v>0</v>
      </c>
      <c r="AD23" s="1">
        <v>1</v>
      </c>
      <c r="AE23" s="12">
        <v>1</v>
      </c>
      <c r="AF23" s="26">
        <f t="shared" si="4"/>
        <v>3</v>
      </c>
      <c r="AG23" s="1">
        <v>1</v>
      </c>
      <c r="AH23" s="1">
        <v>1</v>
      </c>
      <c r="AI23" s="1">
        <v>1</v>
      </c>
      <c r="AJ23" s="1">
        <v>0</v>
      </c>
      <c r="AK23" s="1">
        <v>1</v>
      </c>
      <c r="AL23" s="26">
        <f t="shared" si="5"/>
        <v>4</v>
      </c>
      <c r="AM23" s="22">
        <f t="shared" si="6"/>
        <v>32</v>
      </c>
      <c r="AN23" s="19" t="s">
        <v>60</v>
      </c>
      <c r="AO23" s="1">
        <v>0</v>
      </c>
      <c r="AP23" s="1">
        <v>5</v>
      </c>
      <c r="AQ23" s="1">
        <f t="shared" si="7"/>
        <v>5</v>
      </c>
      <c r="AR23" s="1" t="s">
        <v>205</v>
      </c>
      <c r="AS23" s="1">
        <v>2</v>
      </c>
      <c r="AT23" s="1">
        <f t="shared" si="8"/>
        <v>2000</v>
      </c>
      <c r="AU23" s="1" t="s">
        <v>209</v>
      </c>
      <c r="AV23" s="1">
        <v>4.8</v>
      </c>
      <c r="AW23" s="1">
        <v>4.5</v>
      </c>
      <c r="AX23" s="1"/>
      <c r="AY23" s="1">
        <v>18.885300000000001</v>
      </c>
      <c r="AZ23" s="12">
        <v>99.000799999999998</v>
      </c>
    </row>
    <row r="24" spans="1:52" ht="15.75">
      <c r="A24" s="11">
        <v>22</v>
      </c>
      <c r="B24" s="19" t="s">
        <v>63</v>
      </c>
      <c r="C24" s="11">
        <v>1</v>
      </c>
      <c r="D24" s="1">
        <v>1</v>
      </c>
      <c r="E24" s="1">
        <v>1</v>
      </c>
      <c r="F24" s="1">
        <v>0</v>
      </c>
      <c r="G24" s="12">
        <v>1</v>
      </c>
      <c r="H24" s="26">
        <f t="shared" si="0"/>
        <v>4</v>
      </c>
      <c r="I24" s="1">
        <v>1</v>
      </c>
      <c r="J24" s="1">
        <v>1</v>
      </c>
      <c r="K24" s="1">
        <v>0</v>
      </c>
      <c r="L24" s="1">
        <v>1</v>
      </c>
      <c r="M24" s="1">
        <v>1</v>
      </c>
      <c r="N24" s="26">
        <f t="shared" si="1"/>
        <v>4</v>
      </c>
      <c r="O24" s="11">
        <v>0</v>
      </c>
      <c r="P24" s="1">
        <v>1</v>
      </c>
      <c r="Q24" s="1">
        <v>1</v>
      </c>
      <c r="R24" s="1">
        <v>1</v>
      </c>
      <c r="S24" s="12">
        <v>1</v>
      </c>
      <c r="T24" s="26">
        <f t="shared" si="2"/>
        <v>4</v>
      </c>
      <c r="U24" s="1">
        <v>0</v>
      </c>
      <c r="V24" s="1">
        <v>1</v>
      </c>
      <c r="W24" s="1">
        <v>0</v>
      </c>
      <c r="X24" s="1">
        <v>1</v>
      </c>
      <c r="Y24" s="1">
        <v>1</v>
      </c>
      <c r="Z24" s="26">
        <f t="shared" si="3"/>
        <v>3</v>
      </c>
      <c r="AA24" s="11">
        <v>0</v>
      </c>
      <c r="AB24" s="1">
        <v>0</v>
      </c>
      <c r="AC24" s="1">
        <v>0</v>
      </c>
      <c r="AD24" s="1">
        <v>1</v>
      </c>
      <c r="AE24" s="12">
        <v>1</v>
      </c>
      <c r="AF24" s="26">
        <f t="shared" si="4"/>
        <v>2</v>
      </c>
      <c r="AG24" s="1">
        <v>1</v>
      </c>
      <c r="AH24" s="1">
        <v>1</v>
      </c>
      <c r="AI24" s="1">
        <v>1</v>
      </c>
      <c r="AJ24" s="1">
        <v>0</v>
      </c>
      <c r="AK24" s="1">
        <v>0</v>
      </c>
      <c r="AL24" s="26">
        <f t="shared" si="5"/>
        <v>3</v>
      </c>
      <c r="AM24" s="22">
        <f t="shared" si="6"/>
        <v>37</v>
      </c>
      <c r="AN24" s="19" t="s">
        <v>60</v>
      </c>
      <c r="AO24" s="1">
        <v>0</v>
      </c>
      <c r="AP24" s="1">
        <v>3</v>
      </c>
      <c r="AQ24" s="1">
        <f t="shared" si="7"/>
        <v>3</v>
      </c>
      <c r="AR24" s="1" t="s">
        <v>205</v>
      </c>
      <c r="AS24" s="1">
        <v>1.5</v>
      </c>
      <c r="AT24" s="1">
        <f t="shared" si="8"/>
        <v>1500</v>
      </c>
      <c r="AU24" s="1" t="s">
        <v>209</v>
      </c>
      <c r="AV24" s="1">
        <v>3.9</v>
      </c>
      <c r="AW24" s="1">
        <v>4.5</v>
      </c>
      <c r="AX24" s="1">
        <v>4.0999999999999996</v>
      </c>
      <c r="AY24" s="1">
        <v>18.810600000000001</v>
      </c>
      <c r="AZ24" s="20">
        <v>98.947900000000004</v>
      </c>
    </row>
    <row r="25" spans="1:52" ht="15.75">
      <c r="A25" s="11">
        <v>23</v>
      </c>
      <c r="B25" s="19" t="s">
        <v>66</v>
      </c>
      <c r="C25" s="11">
        <v>1</v>
      </c>
      <c r="D25" s="1">
        <v>1</v>
      </c>
      <c r="E25" s="1">
        <v>1</v>
      </c>
      <c r="F25" s="1">
        <v>1</v>
      </c>
      <c r="G25" s="12">
        <v>1</v>
      </c>
      <c r="H25" s="26">
        <f t="shared" si="0"/>
        <v>5</v>
      </c>
      <c r="I25" s="1">
        <v>1</v>
      </c>
      <c r="J25" s="1">
        <v>1</v>
      </c>
      <c r="K25" s="1">
        <v>0</v>
      </c>
      <c r="L25" s="1">
        <v>1</v>
      </c>
      <c r="M25" s="1">
        <v>1</v>
      </c>
      <c r="N25" s="26">
        <f t="shared" si="1"/>
        <v>4</v>
      </c>
      <c r="O25" s="11">
        <v>1</v>
      </c>
      <c r="P25" s="1">
        <v>1</v>
      </c>
      <c r="Q25" s="1">
        <v>1</v>
      </c>
      <c r="R25" s="1">
        <v>0</v>
      </c>
      <c r="S25" s="12">
        <v>1</v>
      </c>
      <c r="T25" s="26">
        <f t="shared" si="2"/>
        <v>4</v>
      </c>
      <c r="U25" s="11">
        <v>1</v>
      </c>
      <c r="V25" s="1">
        <v>1</v>
      </c>
      <c r="W25" s="1">
        <v>1</v>
      </c>
      <c r="X25" s="1">
        <v>0</v>
      </c>
      <c r="Y25" s="12">
        <v>1</v>
      </c>
      <c r="Z25" s="26">
        <f t="shared" si="3"/>
        <v>4</v>
      </c>
      <c r="AA25" s="11">
        <v>0</v>
      </c>
      <c r="AB25" s="1">
        <v>0</v>
      </c>
      <c r="AC25" s="1">
        <v>0</v>
      </c>
      <c r="AD25" s="1">
        <v>1</v>
      </c>
      <c r="AE25" s="12">
        <v>0</v>
      </c>
      <c r="AF25" s="26">
        <f t="shared" si="4"/>
        <v>1</v>
      </c>
      <c r="AG25" s="1">
        <v>1</v>
      </c>
      <c r="AH25" s="1">
        <v>1</v>
      </c>
      <c r="AI25" s="1">
        <v>0</v>
      </c>
      <c r="AJ25" s="1">
        <v>0</v>
      </c>
      <c r="AK25" s="1">
        <v>0</v>
      </c>
      <c r="AL25" s="26">
        <f t="shared" si="5"/>
        <v>2</v>
      </c>
      <c r="AM25" s="22">
        <f t="shared" si="6"/>
        <v>38</v>
      </c>
      <c r="AN25" s="19" t="s">
        <v>67</v>
      </c>
      <c r="AO25" s="1">
        <v>150</v>
      </c>
      <c r="AP25" s="1">
        <v>2.5</v>
      </c>
      <c r="AQ25" s="1">
        <f t="shared" si="7"/>
        <v>2.5</v>
      </c>
      <c r="AR25" s="1" t="s">
        <v>205</v>
      </c>
      <c r="AS25" s="1">
        <v>1.2</v>
      </c>
      <c r="AT25" s="1">
        <f t="shared" si="8"/>
        <v>1200</v>
      </c>
      <c r="AU25" s="1" t="s">
        <v>209</v>
      </c>
      <c r="AV25" s="1">
        <v>4.3</v>
      </c>
      <c r="AW25" s="1">
        <v>4.5999999999999996</v>
      </c>
      <c r="AX25" s="1">
        <v>4.2</v>
      </c>
      <c r="AY25" s="1">
        <v>18.7422</v>
      </c>
      <c r="AZ25" s="12">
        <v>98.917199999999994</v>
      </c>
    </row>
    <row r="26" spans="1:52" ht="15.75">
      <c r="A26" s="11">
        <v>24</v>
      </c>
      <c r="B26" s="19" t="s">
        <v>70</v>
      </c>
      <c r="C26" s="11">
        <v>1</v>
      </c>
      <c r="D26" s="1">
        <v>1</v>
      </c>
      <c r="E26" s="1">
        <v>1</v>
      </c>
      <c r="F26" s="1">
        <v>0</v>
      </c>
      <c r="G26" s="12">
        <v>1</v>
      </c>
      <c r="H26" s="26">
        <f t="shared" si="0"/>
        <v>4</v>
      </c>
      <c r="I26" s="1">
        <v>1</v>
      </c>
      <c r="J26" s="1">
        <v>1</v>
      </c>
      <c r="K26" s="1">
        <v>0</v>
      </c>
      <c r="L26" s="1">
        <v>1</v>
      </c>
      <c r="M26" s="1">
        <v>1</v>
      </c>
      <c r="N26" s="26">
        <f t="shared" si="1"/>
        <v>4</v>
      </c>
      <c r="O26" s="11">
        <v>1</v>
      </c>
      <c r="P26" s="1">
        <v>1</v>
      </c>
      <c r="Q26" s="1">
        <v>1</v>
      </c>
      <c r="R26" s="1">
        <v>0</v>
      </c>
      <c r="S26" s="12">
        <v>0</v>
      </c>
      <c r="T26" s="26">
        <f t="shared" si="2"/>
        <v>3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26">
        <f t="shared" si="3"/>
        <v>5</v>
      </c>
      <c r="AA26" s="11">
        <v>0</v>
      </c>
      <c r="AB26" s="1">
        <v>1</v>
      </c>
      <c r="AC26" s="1">
        <v>0</v>
      </c>
      <c r="AD26" s="1">
        <v>0</v>
      </c>
      <c r="AE26" s="12">
        <v>0</v>
      </c>
      <c r="AF26" s="26">
        <f t="shared" si="4"/>
        <v>1</v>
      </c>
      <c r="AG26" s="1">
        <v>1</v>
      </c>
      <c r="AH26" s="1">
        <v>1</v>
      </c>
      <c r="AI26" s="1">
        <v>1</v>
      </c>
      <c r="AJ26" s="1">
        <v>0</v>
      </c>
      <c r="AK26" s="1">
        <v>0</v>
      </c>
      <c r="AL26" s="26">
        <f t="shared" si="5"/>
        <v>3</v>
      </c>
      <c r="AM26" s="22">
        <f t="shared" si="6"/>
        <v>37</v>
      </c>
      <c r="AN26" s="19" t="s">
        <v>57</v>
      </c>
      <c r="AO26" s="1">
        <v>320</v>
      </c>
      <c r="AP26" s="1">
        <v>1.5</v>
      </c>
      <c r="AQ26" s="1">
        <f t="shared" si="7"/>
        <v>1.5</v>
      </c>
      <c r="AR26" s="1" t="s">
        <v>205</v>
      </c>
      <c r="AS26" s="1">
        <v>0.5</v>
      </c>
      <c r="AT26" s="1">
        <f t="shared" si="8"/>
        <v>500</v>
      </c>
      <c r="AU26" s="1" t="s">
        <v>209</v>
      </c>
      <c r="AV26" s="1">
        <v>4</v>
      </c>
      <c r="AW26" s="1">
        <v>4.5</v>
      </c>
      <c r="AX26" s="1"/>
      <c r="AY26" s="1">
        <v>18.924600000000002</v>
      </c>
      <c r="AZ26" s="12">
        <v>98.932000000000002</v>
      </c>
    </row>
    <row r="27" spans="1:52" ht="15.75">
      <c r="A27" s="11">
        <v>25</v>
      </c>
      <c r="B27" s="19" t="s">
        <v>72</v>
      </c>
      <c r="C27" s="11">
        <v>0</v>
      </c>
      <c r="D27" s="1">
        <v>1</v>
      </c>
      <c r="E27" s="1">
        <v>1</v>
      </c>
      <c r="F27" s="1">
        <v>0</v>
      </c>
      <c r="G27" s="12">
        <v>0</v>
      </c>
      <c r="H27" s="26">
        <f t="shared" si="0"/>
        <v>2</v>
      </c>
      <c r="I27" s="1">
        <v>0</v>
      </c>
      <c r="J27" s="1">
        <v>0</v>
      </c>
      <c r="K27" s="1">
        <v>1</v>
      </c>
      <c r="L27" s="1">
        <v>1</v>
      </c>
      <c r="M27" s="1">
        <v>1</v>
      </c>
      <c r="N27" s="26">
        <f t="shared" si="1"/>
        <v>3</v>
      </c>
      <c r="O27" s="11">
        <v>0</v>
      </c>
      <c r="P27" s="1">
        <v>0</v>
      </c>
      <c r="Q27" s="1">
        <v>0</v>
      </c>
      <c r="R27" s="1">
        <v>0</v>
      </c>
      <c r="S27" s="12">
        <v>0</v>
      </c>
      <c r="T27" s="26">
        <f t="shared" si="2"/>
        <v>0</v>
      </c>
      <c r="U27" s="11">
        <v>0</v>
      </c>
      <c r="V27" s="1">
        <v>0</v>
      </c>
      <c r="W27" s="1">
        <v>0</v>
      </c>
      <c r="X27" s="1">
        <v>1</v>
      </c>
      <c r="Y27" s="12">
        <v>0</v>
      </c>
      <c r="Z27" s="26">
        <f t="shared" si="3"/>
        <v>1</v>
      </c>
      <c r="AA27" s="11">
        <v>0</v>
      </c>
      <c r="AB27" s="1">
        <v>1</v>
      </c>
      <c r="AC27" s="1">
        <v>0</v>
      </c>
      <c r="AD27" s="1">
        <v>0</v>
      </c>
      <c r="AE27" s="12">
        <v>1</v>
      </c>
      <c r="AF27" s="26">
        <f t="shared" si="4"/>
        <v>2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26">
        <f t="shared" si="5"/>
        <v>5</v>
      </c>
      <c r="AM27" s="22">
        <f t="shared" si="6"/>
        <v>21</v>
      </c>
      <c r="AN27" s="19" t="s">
        <v>73</v>
      </c>
      <c r="AO27" s="1">
        <v>2900</v>
      </c>
      <c r="AP27" s="1">
        <v>5</v>
      </c>
      <c r="AQ27" s="1">
        <f t="shared" si="7"/>
        <v>5</v>
      </c>
      <c r="AR27" s="1" t="s">
        <v>205</v>
      </c>
      <c r="AS27" s="1">
        <v>2</v>
      </c>
      <c r="AT27" s="1">
        <f t="shared" si="8"/>
        <v>2000</v>
      </c>
      <c r="AU27" s="1" t="s">
        <v>209</v>
      </c>
      <c r="AV27" s="1">
        <v>4.7</v>
      </c>
      <c r="AW27" s="1"/>
      <c r="AX27" s="1"/>
      <c r="AY27" s="1">
        <v>18.933299999999999</v>
      </c>
      <c r="AZ27" s="20">
        <v>98.9</v>
      </c>
    </row>
    <row r="28" spans="1:52" ht="15.75">
      <c r="A28" s="11">
        <v>26</v>
      </c>
      <c r="B28" s="19" t="s">
        <v>74</v>
      </c>
      <c r="C28" s="11">
        <v>0</v>
      </c>
      <c r="D28" s="1">
        <v>1</v>
      </c>
      <c r="E28" s="1">
        <v>1</v>
      </c>
      <c r="F28" s="1">
        <v>0</v>
      </c>
      <c r="G28" s="12">
        <v>0</v>
      </c>
      <c r="H28" s="26">
        <f t="shared" si="0"/>
        <v>2</v>
      </c>
      <c r="I28" s="1">
        <v>0</v>
      </c>
      <c r="J28" s="1">
        <v>0</v>
      </c>
      <c r="K28" s="1">
        <v>1</v>
      </c>
      <c r="L28" s="1">
        <v>1</v>
      </c>
      <c r="M28" s="1">
        <v>1</v>
      </c>
      <c r="N28" s="26">
        <f t="shared" si="1"/>
        <v>3</v>
      </c>
      <c r="O28" s="11">
        <v>0</v>
      </c>
      <c r="P28" s="1">
        <v>0</v>
      </c>
      <c r="Q28" s="1">
        <v>0</v>
      </c>
      <c r="R28" s="1">
        <v>0</v>
      </c>
      <c r="S28" s="12">
        <v>0</v>
      </c>
      <c r="T28" s="26">
        <f t="shared" si="2"/>
        <v>0</v>
      </c>
      <c r="U28" s="11">
        <v>0</v>
      </c>
      <c r="V28" s="1">
        <v>0</v>
      </c>
      <c r="W28" s="1">
        <v>0</v>
      </c>
      <c r="X28" s="1">
        <v>1</v>
      </c>
      <c r="Y28" s="12">
        <v>0</v>
      </c>
      <c r="Z28" s="26">
        <f t="shared" si="3"/>
        <v>1</v>
      </c>
      <c r="AA28" s="11">
        <v>0</v>
      </c>
      <c r="AB28" s="1">
        <v>1</v>
      </c>
      <c r="AC28" s="1">
        <v>0</v>
      </c>
      <c r="AD28" s="1">
        <v>0</v>
      </c>
      <c r="AE28" s="12">
        <v>1</v>
      </c>
      <c r="AF28" s="26">
        <f t="shared" si="4"/>
        <v>2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26">
        <f t="shared" si="5"/>
        <v>5</v>
      </c>
      <c r="AM28" s="22">
        <f t="shared" si="6"/>
        <v>21</v>
      </c>
      <c r="AN28" s="19" t="s">
        <v>36</v>
      </c>
      <c r="AO28" s="1">
        <v>3200</v>
      </c>
      <c r="AP28" s="1">
        <v>6</v>
      </c>
      <c r="AQ28" s="1">
        <f t="shared" si="7"/>
        <v>6</v>
      </c>
      <c r="AR28" s="1" t="s">
        <v>205</v>
      </c>
      <c r="AS28" s="1">
        <v>2.5</v>
      </c>
      <c r="AT28" s="1">
        <f t="shared" si="8"/>
        <v>2500</v>
      </c>
      <c r="AU28" s="1" t="s">
        <v>209</v>
      </c>
      <c r="AV28" s="1">
        <v>4.4000000000000004</v>
      </c>
      <c r="AW28" s="1"/>
      <c r="AX28" s="1"/>
      <c r="AY28" s="1">
        <v>18.778099999999998</v>
      </c>
      <c r="AZ28" s="12">
        <v>98.816299999999998</v>
      </c>
    </row>
    <row r="29" spans="1:52" ht="15.75">
      <c r="A29" s="11">
        <v>27</v>
      </c>
      <c r="B29" s="19" t="s">
        <v>77</v>
      </c>
      <c r="C29" s="11">
        <v>0</v>
      </c>
      <c r="D29" s="1">
        <v>1</v>
      </c>
      <c r="E29" s="1">
        <v>1</v>
      </c>
      <c r="F29" s="1">
        <v>0</v>
      </c>
      <c r="G29" s="12">
        <v>0</v>
      </c>
      <c r="H29" s="26">
        <f t="shared" si="0"/>
        <v>2</v>
      </c>
      <c r="I29" s="1">
        <v>0</v>
      </c>
      <c r="J29" s="1">
        <v>0</v>
      </c>
      <c r="K29" s="1">
        <v>1</v>
      </c>
      <c r="L29" s="1">
        <v>1</v>
      </c>
      <c r="M29" s="1">
        <v>1</v>
      </c>
      <c r="N29" s="26">
        <f t="shared" si="1"/>
        <v>3</v>
      </c>
      <c r="O29" s="11">
        <v>0</v>
      </c>
      <c r="P29" s="1">
        <v>0</v>
      </c>
      <c r="Q29" s="1">
        <v>1</v>
      </c>
      <c r="R29" s="1">
        <v>0</v>
      </c>
      <c r="S29" s="12">
        <v>0</v>
      </c>
      <c r="T29" s="26">
        <f t="shared" si="2"/>
        <v>1</v>
      </c>
      <c r="U29" s="11">
        <v>0</v>
      </c>
      <c r="V29" s="1">
        <v>0</v>
      </c>
      <c r="W29" s="1">
        <v>0</v>
      </c>
      <c r="X29" s="1">
        <v>1</v>
      </c>
      <c r="Y29" s="12">
        <v>0</v>
      </c>
      <c r="Z29" s="26">
        <f t="shared" si="3"/>
        <v>1</v>
      </c>
      <c r="AA29" s="11">
        <v>1</v>
      </c>
      <c r="AB29" s="1">
        <v>0</v>
      </c>
      <c r="AC29" s="1">
        <v>0</v>
      </c>
      <c r="AD29" s="1">
        <v>1</v>
      </c>
      <c r="AE29" s="12">
        <v>1</v>
      </c>
      <c r="AF29" s="26">
        <f t="shared" si="4"/>
        <v>3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26">
        <f t="shared" si="5"/>
        <v>5</v>
      </c>
      <c r="AM29" s="22">
        <f t="shared" si="6"/>
        <v>25</v>
      </c>
      <c r="AN29" s="19" t="s">
        <v>28</v>
      </c>
      <c r="AO29" s="1">
        <v>50</v>
      </c>
      <c r="AP29" s="1">
        <v>4</v>
      </c>
      <c r="AQ29" s="1">
        <f t="shared" si="7"/>
        <v>4</v>
      </c>
      <c r="AR29" s="1" t="s">
        <v>205</v>
      </c>
      <c r="AS29" s="1">
        <v>3</v>
      </c>
      <c r="AT29" s="1">
        <f t="shared" si="8"/>
        <v>3000</v>
      </c>
      <c r="AU29" s="1" t="s">
        <v>209</v>
      </c>
      <c r="AV29" s="1">
        <v>4.7</v>
      </c>
      <c r="AW29" s="1">
        <v>4.9000000000000004</v>
      </c>
      <c r="AX29" s="1">
        <v>4.5</v>
      </c>
      <c r="AY29" s="1">
        <v>18.5886</v>
      </c>
      <c r="AZ29" s="12">
        <v>98.486999999999995</v>
      </c>
    </row>
    <row r="30" spans="1:52" ht="15.75">
      <c r="A30" s="11">
        <v>28</v>
      </c>
      <c r="B30" s="19" t="s">
        <v>80</v>
      </c>
      <c r="C30" s="11">
        <v>1</v>
      </c>
      <c r="D30" s="1">
        <v>1</v>
      </c>
      <c r="E30" s="1">
        <v>1</v>
      </c>
      <c r="F30" s="1">
        <v>0</v>
      </c>
      <c r="G30" s="12">
        <v>1</v>
      </c>
      <c r="H30" s="26">
        <f t="shared" si="0"/>
        <v>4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26">
        <f t="shared" si="1"/>
        <v>5</v>
      </c>
      <c r="O30" s="11">
        <v>0</v>
      </c>
      <c r="P30" s="1">
        <v>0</v>
      </c>
      <c r="Q30" s="1">
        <v>1</v>
      </c>
      <c r="R30" s="1">
        <v>0</v>
      </c>
      <c r="S30" s="12">
        <v>0</v>
      </c>
      <c r="T30" s="26">
        <f t="shared" si="2"/>
        <v>1</v>
      </c>
      <c r="U30" s="1">
        <v>0</v>
      </c>
      <c r="V30" s="1">
        <v>1</v>
      </c>
      <c r="W30" s="1">
        <v>0</v>
      </c>
      <c r="X30" s="1">
        <v>1</v>
      </c>
      <c r="Y30" s="1">
        <v>1</v>
      </c>
      <c r="Z30" s="26">
        <f t="shared" si="3"/>
        <v>3</v>
      </c>
      <c r="AA30" s="11">
        <v>1</v>
      </c>
      <c r="AB30" s="1">
        <v>0</v>
      </c>
      <c r="AC30" s="1">
        <v>0</v>
      </c>
      <c r="AD30" s="1">
        <v>1</v>
      </c>
      <c r="AE30" s="12">
        <v>1</v>
      </c>
      <c r="AF30" s="26">
        <f t="shared" si="4"/>
        <v>3</v>
      </c>
      <c r="AG30" s="1">
        <v>1</v>
      </c>
      <c r="AH30" s="1">
        <v>1</v>
      </c>
      <c r="AI30" s="1">
        <v>1</v>
      </c>
      <c r="AJ30" s="1">
        <v>0</v>
      </c>
      <c r="AK30" s="1">
        <v>1</v>
      </c>
      <c r="AL30" s="26">
        <f t="shared" si="5"/>
        <v>4</v>
      </c>
      <c r="AM30" s="22">
        <f t="shared" si="6"/>
        <v>36</v>
      </c>
      <c r="AN30" s="19" t="s">
        <v>39</v>
      </c>
      <c r="AO30" s="1">
        <v>0</v>
      </c>
      <c r="AP30" s="1">
        <v>2</v>
      </c>
      <c r="AQ30" s="1">
        <f t="shared" si="7"/>
        <v>2</v>
      </c>
      <c r="AR30" s="1" t="s">
        <v>205</v>
      </c>
      <c r="AS30" s="1">
        <v>1.5</v>
      </c>
      <c r="AT30" s="1">
        <f t="shared" si="8"/>
        <v>1500</v>
      </c>
      <c r="AU30" s="1" t="s">
        <v>209</v>
      </c>
      <c r="AV30" s="1">
        <v>4.5999999999999996</v>
      </c>
      <c r="AW30" s="1">
        <v>4.7</v>
      </c>
      <c r="AX30" s="1">
        <v>4.3</v>
      </c>
      <c r="AY30" s="1">
        <v>18.9114</v>
      </c>
      <c r="AZ30" s="20">
        <v>98.864599999999996</v>
      </c>
    </row>
    <row r="31" spans="1:52" ht="15.75">
      <c r="A31" s="11">
        <v>29</v>
      </c>
      <c r="B31" s="19" t="s">
        <v>81</v>
      </c>
      <c r="C31" s="11">
        <v>1</v>
      </c>
      <c r="D31" s="1">
        <v>1</v>
      </c>
      <c r="E31" s="1">
        <v>1</v>
      </c>
      <c r="F31" s="1">
        <v>1</v>
      </c>
      <c r="G31" s="12">
        <v>1</v>
      </c>
      <c r="H31" s="26">
        <f t="shared" si="0"/>
        <v>5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26">
        <f t="shared" si="1"/>
        <v>5</v>
      </c>
      <c r="O31" s="11">
        <v>1</v>
      </c>
      <c r="P31" s="1">
        <v>1</v>
      </c>
      <c r="Q31" s="1">
        <v>1</v>
      </c>
      <c r="R31" s="1">
        <v>0</v>
      </c>
      <c r="S31" s="12">
        <v>1</v>
      </c>
      <c r="T31" s="26">
        <f t="shared" si="2"/>
        <v>4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26">
        <f t="shared" si="3"/>
        <v>5</v>
      </c>
      <c r="AA31" s="11">
        <v>0</v>
      </c>
      <c r="AB31" s="1">
        <v>0</v>
      </c>
      <c r="AC31" s="1">
        <v>0</v>
      </c>
      <c r="AD31" s="1">
        <v>1</v>
      </c>
      <c r="AE31" s="12">
        <v>1</v>
      </c>
      <c r="AF31" s="26">
        <f t="shared" si="4"/>
        <v>2</v>
      </c>
      <c r="AG31" s="1">
        <v>1</v>
      </c>
      <c r="AH31" s="1">
        <v>1</v>
      </c>
      <c r="AI31" s="1">
        <v>1</v>
      </c>
      <c r="AJ31" s="1">
        <v>0</v>
      </c>
      <c r="AK31" s="1">
        <v>1</v>
      </c>
      <c r="AL31" s="26">
        <f t="shared" si="5"/>
        <v>4</v>
      </c>
      <c r="AM31" s="22">
        <f t="shared" si="6"/>
        <v>46</v>
      </c>
      <c r="AN31" s="19" t="s">
        <v>52</v>
      </c>
      <c r="AO31" s="1">
        <v>86</v>
      </c>
      <c r="AP31" s="1">
        <v>2</v>
      </c>
      <c r="AQ31" s="1">
        <f t="shared" si="7"/>
        <v>2</v>
      </c>
      <c r="AR31" s="1" t="s">
        <v>205</v>
      </c>
      <c r="AS31" s="1">
        <v>1</v>
      </c>
      <c r="AT31" s="1">
        <f t="shared" si="8"/>
        <v>1000</v>
      </c>
      <c r="AU31" s="1" t="s">
        <v>209</v>
      </c>
      <c r="AV31" s="1">
        <v>4.5</v>
      </c>
      <c r="AW31" s="1">
        <v>4.8</v>
      </c>
      <c r="AX31" s="1">
        <v>4.2</v>
      </c>
      <c r="AY31" s="1">
        <v>18.825099999999999</v>
      </c>
      <c r="AZ31" s="12">
        <v>99.076499999999996</v>
      </c>
    </row>
    <row r="32" spans="1:52" ht="15.75">
      <c r="A32" s="11">
        <v>30</v>
      </c>
      <c r="B32" s="19" t="s">
        <v>83</v>
      </c>
      <c r="C32" s="11">
        <v>0</v>
      </c>
      <c r="D32" s="1">
        <v>1</v>
      </c>
      <c r="E32" s="1">
        <v>1</v>
      </c>
      <c r="F32" s="1">
        <v>0</v>
      </c>
      <c r="G32" s="12">
        <v>0</v>
      </c>
      <c r="H32" s="26">
        <f t="shared" si="0"/>
        <v>2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26">
        <f t="shared" si="1"/>
        <v>2</v>
      </c>
      <c r="O32" s="11">
        <v>0</v>
      </c>
      <c r="P32" s="1">
        <v>0</v>
      </c>
      <c r="Q32" s="1">
        <v>0</v>
      </c>
      <c r="R32" s="1">
        <v>0</v>
      </c>
      <c r="S32" s="12">
        <v>0</v>
      </c>
      <c r="T32" s="26">
        <f t="shared" si="2"/>
        <v>0</v>
      </c>
      <c r="U32" s="11">
        <v>0</v>
      </c>
      <c r="V32" s="1">
        <v>0</v>
      </c>
      <c r="W32" s="1">
        <v>0</v>
      </c>
      <c r="X32" s="1">
        <v>0</v>
      </c>
      <c r="Y32" s="12">
        <v>0</v>
      </c>
      <c r="Z32" s="26">
        <f t="shared" si="3"/>
        <v>0</v>
      </c>
      <c r="AA32" s="11">
        <v>0</v>
      </c>
      <c r="AB32" s="1">
        <v>1</v>
      </c>
      <c r="AC32" s="1">
        <v>0</v>
      </c>
      <c r="AD32" s="1">
        <v>0</v>
      </c>
      <c r="AE32" s="12">
        <v>0</v>
      </c>
      <c r="AF32" s="26">
        <f t="shared" si="4"/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26">
        <f t="shared" si="5"/>
        <v>5</v>
      </c>
      <c r="AM32" s="22">
        <f t="shared" si="6"/>
        <v>15</v>
      </c>
      <c r="AN32" s="19" t="s">
        <v>84</v>
      </c>
      <c r="AO32" s="1">
        <v>0</v>
      </c>
      <c r="AP32" s="1">
        <v>3</v>
      </c>
      <c r="AQ32" s="1">
        <f t="shared" si="7"/>
        <v>3</v>
      </c>
      <c r="AR32" s="1" t="s">
        <v>205</v>
      </c>
      <c r="AS32" s="1">
        <v>2</v>
      </c>
      <c r="AT32" s="1">
        <f t="shared" si="8"/>
        <v>2000</v>
      </c>
      <c r="AU32" s="1" t="s">
        <v>209</v>
      </c>
      <c r="AV32" s="1">
        <v>4.4000000000000004</v>
      </c>
      <c r="AW32" s="1"/>
      <c r="AX32" s="1">
        <v>4.0999999999999996</v>
      </c>
      <c r="AY32" s="1">
        <v>18.933299999999999</v>
      </c>
      <c r="AZ32" s="12">
        <v>98.8</v>
      </c>
    </row>
    <row r="33" spans="1:52" ht="15.75">
      <c r="A33" s="11">
        <v>31</v>
      </c>
      <c r="B33" s="19" t="s">
        <v>85</v>
      </c>
      <c r="C33" s="11">
        <v>0</v>
      </c>
      <c r="D33" s="1">
        <v>0</v>
      </c>
      <c r="E33" s="1">
        <v>0</v>
      </c>
      <c r="F33" s="1">
        <v>1</v>
      </c>
      <c r="G33" s="12">
        <v>0</v>
      </c>
      <c r="H33" s="26">
        <f t="shared" si="0"/>
        <v>1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26">
        <f t="shared" si="1"/>
        <v>1</v>
      </c>
      <c r="O33" s="11">
        <v>0</v>
      </c>
      <c r="P33" s="1">
        <v>0</v>
      </c>
      <c r="Q33" s="1">
        <v>0</v>
      </c>
      <c r="R33" s="1">
        <v>1</v>
      </c>
      <c r="S33" s="12">
        <v>0</v>
      </c>
      <c r="T33" s="26">
        <f t="shared" si="2"/>
        <v>1</v>
      </c>
      <c r="U33" s="1">
        <v>1</v>
      </c>
      <c r="V33" s="1">
        <v>0</v>
      </c>
      <c r="W33" s="1">
        <v>1</v>
      </c>
      <c r="X33" s="1">
        <v>1</v>
      </c>
      <c r="Y33" s="1">
        <v>0</v>
      </c>
      <c r="Z33" s="26">
        <f t="shared" si="3"/>
        <v>3</v>
      </c>
      <c r="AA33" s="11">
        <v>1</v>
      </c>
      <c r="AB33" s="1">
        <v>1</v>
      </c>
      <c r="AC33" s="1">
        <v>0</v>
      </c>
      <c r="AD33" s="1">
        <v>0</v>
      </c>
      <c r="AE33" s="12">
        <v>0</v>
      </c>
      <c r="AF33" s="26">
        <f t="shared" si="4"/>
        <v>2</v>
      </c>
      <c r="AG33" s="1">
        <v>0</v>
      </c>
      <c r="AH33" s="1">
        <v>0</v>
      </c>
      <c r="AI33" s="1">
        <v>0</v>
      </c>
      <c r="AJ33" s="1">
        <v>0</v>
      </c>
      <c r="AK33" s="1">
        <v>1</v>
      </c>
      <c r="AL33" s="26">
        <f t="shared" si="5"/>
        <v>1</v>
      </c>
      <c r="AM33" s="22">
        <f t="shared" si="6"/>
        <v>17</v>
      </c>
      <c r="AN33" s="19" t="s">
        <v>86</v>
      </c>
      <c r="AO33" s="1">
        <v>0</v>
      </c>
      <c r="AP33" s="1">
        <v>1</v>
      </c>
      <c r="AQ33" s="1">
        <f t="shared" si="7"/>
        <v>1</v>
      </c>
      <c r="AR33" s="1" t="s">
        <v>205</v>
      </c>
      <c r="AS33" s="1">
        <v>500</v>
      </c>
      <c r="AT33" s="1">
        <f t="shared" si="8"/>
        <v>500</v>
      </c>
      <c r="AU33" s="1" t="s">
        <v>208</v>
      </c>
      <c r="AV33" s="1">
        <v>4.4000000000000004</v>
      </c>
      <c r="AW33" s="1">
        <v>4.4000000000000004</v>
      </c>
      <c r="AX33" s="1">
        <v>3.9</v>
      </c>
      <c r="AY33" s="1">
        <v>18.7881</v>
      </c>
      <c r="AZ33" s="20">
        <v>99.000299999999996</v>
      </c>
    </row>
    <row r="34" spans="1:52" ht="15.75">
      <c r="A34" s="11">
        <v>32</v>
      </c>
      <c r="B34" s="19" t="s">
        <v>87</v>
      </c>
      <c r="C34" s="11">
        <v>1</v>
      </c>
      <c r="D34" s="1">
        <v>0</v>
      </c>
      <c r="E34" s="1">
        <v>0</v>
      </c>
      <c r="F34" s="1">
        <v>0</v>
      </c>
      <c r="G34" s="12">
        <v>0</v>
      </c>
      <c r="H34" s="26">
        <f t="shared" si="0"/>
        <v>1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26">
        <f t="shared" si="1"/>
        <v>1</v>
      </c>
      <c r="O34" s="11">
        <v>0</v>
      </c>
      <c r="P34" s="1">
        <v>1</v>
      </c>
      <c r="Q34" s="1">
        <v>0</v>
      </c>
      <c r="R34" s="1">
        <v>1</v>
      </c>
      <c r="S34" s="12">
        <v>0</v>
      </c>
      <c r="T34" s="26">
        <f t="shared" si="2"/>
        <v>2</v>
      </c>
      <c r="U34" s="1">
        <v>1</v>
      </c>
      <c r="V34" s="1">
        <v>0</v>
      </c>
      <c r="W34" s="1">
        <v>1</v>
      </c>
      <c r="X34" s="1">
        <v>0</v>
      </c>
      <c r="Y34" s="1">
        <v>1</v>
      </c>
      <c r="Z34" s="26">
        <f t="shared" si="3"/>
        <v>3</v>
      </c>
      <c r="AA34" s="11">
        <v>0</v>
      </c>
      <c r="AB34" s="1">
        <v>1</v>
      </c>
      <c r="AC34" s="1">
        <v>0</v>
      </c>
      <c r="AD34" s="1">
        <v>1</v>
      </c>
      <c r="AE34" s="12">
        <v>0</v>
      </c>
      <c r="AF34" s="26">
        <f t="shared" si="4"/>
        <v>2</v>
      </c>
      <c r="AG34" s="1">
        <v>1</v>
      </c>
      <c r="AH34" s="1">
        <v>1</v>
      </c>
      <c r="AI34" s="1">
        <v>0</v>
      </c>
      <c r="AJ34" s="1">
        <v>0</v>
      </c>
      <c r="AK34" s="1">
        <v>1</v>
      </c>
      <c r="AL34" s="26">
        <f t="shared" si="5"/>
        <v>3</v>
      </c>
      <c r="AM34" s="22">
        <f t="shared" si="6"/>
        <v>21</v>
      </c>
      <c r="AN34" s="19" t="s">
        <v>88</v>
      </c>
      <c r="AO34" s="1">
        <v>0</v>
      </c>
      <c r="AP34" s="1">
        <v>2</v>
      </c>
      <c r="AQ34" s="1">
        <f t="shared" si="7"/>
        <v>2</v>
      </c>
      <c r="AR34" s="1" t="s">
        <v>205</v>
      </c>
      <c r="AS34" s="1">
        <v>1.5</v>
      </c>
      <c r="AT34" s="1">
        <f t="shared" si="8"/>
        <v>1500</v>
      </c>
      <c r="AU34" s="1" t="s">
        <v>209</v>
      </c>
      <c r="AV34" s="1">
        <v>4.5</v>
      </c>
      <c r="AW34" s="1">
        <v>4.5</v>
      </c>
      <c r="AX34" s="1">
        <v>4.3</v>
      </c>
      <c r="AY34" s="1">
        <v>18.787500000000001</v>
      </c>
      <c r="AZ34" s="12">
        <v>98.993499999999997</v>
      </c>
    </row>
    <row r="35" spans="1:52" ht="15.75">
      <c r="A35" s="11">
        <v>33</v>
      </c>
      <c r="B35" s="19" t="s">
        <v>89</v>
      </c>
      <c r="C35" s="11">
        <v>1</v>
      </c>
      <c r="D35" s="1">
        <v>0</v>
      </c>
      <c r="E35" s="1">
        <v>0</v>
      </c>
      <c r="F35" s="1">
        <v>0</v>
      </c>
      <c r="G35" s="12">
        <v>0</v>
      </c>
      <c r="H35" s="26">
        <f t="shared" si="0"/>
        <v>1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26">
        <f t="shared" si="1"/>
        <v>1</v>
      </c>
      <c r="O35" s="11">
        <v>0</v>
      </c>
      <c r="P35" s="1">
        <v>1</v>
      </c>
      <c r="Q35" s="1">
        <v>0</v>
      </c>
      <c r="R35" s="1">
        <v>1</v>
      </c>
      <c r="S35" s="12">
        <v>0</v>
      </c>
      <c r="T35" s="26">
        <f t="shared" si="2"/>
        <v>2</v>
      </c>
      <c r="U35" s="1">
        <v>1</v>
      </c>
      <c r="V35" s="1">
        <v>0</v>
      </c>
      <c r="W35" s="1">
        <v>1</v>
      </c>
      <c r="X35" s="1">
        <v>0</v>
      </c>
      <c r="Y35" s="1">
        <v>1</v>
      </c>
      <c r="Z35" s="26">
        <f t="shared" si="3"/>
        <v>3</v>
      </c>
      <c r="AA35" s="11">
        <v>0</v>
      </c>
      <c r="AB35" s="1">
        <v>1</v>
      </c>
      <c r="AC35" s="1">
        <v>1</v>
      </c>
      <c r="AD35" s="1">
        <v>1</v>
      </c>
      <c r="AE35" s="12">
        <v>0</v>
      </c>
      <c r="AF35" s="26">
        <f t="shared" si="4"/>
        <v>3</v>
      </c>
      <c r="AG35" s="1">
        <v>1</v>
      </c>
      <c r="AH35" s="1">
        <v>1</v>
      </c>
      <c r="AI35" s="1">
        <v>0</v>
      </c>
      <c r="AJ35" s="1">
        <v>0</v>
      </c>
      <c r="AK35" s="1">
        <v>1</v>
      </c>
      <c r="AL35" s="26">
        <f t="shared" si="5"/>
        <v>3</v>
      </c>
      <c r="AM35" s="22">
        <f t="shared" si="6"/>
        <v>23</v>
      </c>
      <c r="AN35" s="19" t="s">
        <v>90</v>
      </c>
      <c r="AO35" s="1">
        <v>0</v>
      </c>
      <c r="AP35" s="1">
        <v>2</v>
      </c>
      <c r="AQ35" s="1">
        <f t="shared" si="7"/>
        <v>2</v>
      </c>
      <c r="AR35" s="1" t="s">
        <v>205</v>
      </c>
      <c r="AS35" s="1">
        <v>1.2</v>
      </c>
      <c r="AT35" s="1">
        <f t="shared" si="8"/>
        <v>1200</v>
      </c>
      <c r="AU35" s="1" t="s">
        <v>209</v>
      </c>
      <c r="AV35" s="1">
        <v>4.4000000000000004</v>
      </c>
      <c r="AW35" s="1">
        <v>4.5</v>
      </c>
      <c r="AX35" s="1">
        <v>4</v>
      </c>
      <c r="AY35" s="1">
        <v>18.781500000000001</v>
      </c>
      <c r="AZ35" s="12">
        <v>98.987499999999997</v>
      </c>
    </row>
    <row r="36" spans="1:52" ht="15.75">
      <c r="A36" s="11">
        <v>34</v>
      </c>
      <c r="B36" s="19" t="s">
        <v>91</v>
      </c>
      <c r="C36" s="11">
        <v>1</v>
      </c>
      <c r="D36" s="1">
        <v>0</v>
      </c>
      <c r="E36" s="1">
        <v>0</v>
      </c>
      <c r="F36" s="1">
        <v>0</v>
      </c>
      <c r="G36" s="12">
        <v>1</v>
      </c>
      <c r="H36" s="26">
        <f t="shared" si="0"/>
        <v>2</v>
      </c>
      <c r="I36" s="1">
        <v>0</v>
      </c>
      <c r="J36" s="1">
        <v>1</v>
      </c>
      <c r="K36" s="1">
        <v>1</v>
      </c>
      <c r="L36" s="1">
        <v>1</v>
      </c>
      <c r="M36" s="1">
        <v>1</v>
      </c>
      <c r="N36" s="26">
        <f t="shared" si="1"/>
        <v>4</v>
      </c>
      <c r="O36" s="11">
        <v>0</v>
      </c>
      <c r="P36" s="1">
        <v>1</v>
      </c>
      <c r="Q36" s="1">
        <v>0</v>
      </c>
      <c r="R36" s="1">
        <v>1</v>
      </c>
      <c r="S36" s="12">
        <v>0</v>
      </c>
      <c r="T36" s="26">
        <f t="shared" si="2"/>
        <v>2</v>
      </c>
      <c r="U36" s="1">
        <v>1</v>
      </c>
      <c r="V36" s="1">
        <v>0</v>
      </c>
      <c r="W36" s="1">
        <v>1</v>
      </c>
      <c r="X36" s="1">
        <v>0</v>
      </c>
      <c r="Y36" s="1">
        <v>0</v>
      </c>
      <c r="Z36" s="26">
        <f t="shared" si="3"/>
        <v>2</v>
      </c>
      <c r="AA36" s="11">
        <v>0</v>
      </c>
      <c r="AB36" s="1">
        <v>1</v>
      </c>
      <c r="AC36" s="1">
        <v>0</v>
      </c>
      <c r="AD36" s="1">
        <v>1</v>
      </c>
      <c r="AE36" s="12">
        <v>0</v>
      </c>
      <c r="AF36" s="26">
        <f t="shared" si="4"/>
        <v>2</v>
      </c>
      <c r="AG36" s="1">
        <v>1</v>
      </c>
      <c r="AH36" s="1">
        <v>1</v>
      </c>
      <c r="AI36" s="1">
        <v>0</v>
      </c>
      <c r="AJ36" s="1">
        <v>0</v>
      </c>
      <c r="AK36" s="1">
        <v>1</v>
      </c>
      <c r="AL36" s="26">
        <f t="shared" si="5"/>
        <v>3</v>
      </c>
      <c r="AM36" s="22">
        <f t="shared" si="6"/>
        <v>27</v>
      </c>
      <c r="AN36" s="19" t="s">
        <v>92</v>
      </c>
      <c r="AO36" s="1">
        <v>0</v>
      </c>
      <c r="AP36" s="1">
        <v>1</v>
      </c>
      <c r="AQ36" s="1">
        <f t="shared" si="7"/>
        <v>1</v>
      </c>
      <c r="AR36" s="1" t="s">
        <v>205</v>
      </c>
      <c r="AS36" s="1">
        <v>400</v>
      </c>
      <c r="AT36" s="1">
        <f t="shared" si="8"/>
        <v>400</v>
      </c>
      <c r="AU36" s="1" t="s">
        <v>208</v>
      </c>
      <c r="AV36" s="1">
        <v>4.4000000000000004</v>
      </c>
      <c r="AW36" s="1">
        <v>4.5999999999999996</v>
      </c>
      <c r="AX36" s="1"/>
      <c r="AY36" s="1">
        <v>18.7819</v>
      </c>
      <c r="AZ36" s="20">
        <v>98.990700000000004</v>
      </c>
    </row>
    <row r="37" spans="1:52" ht="15.75">
      <c r="A37" s="11">
        <v>35</v>
      </c>
      <c r="B37" s="19" t="s">
        <v>93</v>
      </c>
      <c r="C37" s="11">
        <v>0</v>
      </c>
      <c r="D37" s="1">
        <v>1</v>
      </c>
      <c r="E37" s="1">
        <v>1</v>
      </c>
      <c r="F37" s="1">
        <v>1</v>
      </c>
      <c r="G37" s="12">
        <v>1</v>
      </c>
      <c r="H37" s="26">
        <f t="shared" si="0"/>
        <v>4</v>
      </c>
      <c r="I37" s="1">
        <v>0</v>
      </c>
      <c r="J37" s="1">
        <v>1</v>
      </c>
      <c r="K37" s="1">
        <v>1</v>
      </c>
      <c r="L37" s="1">
        <v>1</v>
      </c>
      <c r="M37" s="1">
        <v>1</v>
      </c>
      <c r="N37" s="26">
        <f t="shared" si="1"/>
        <v>4</v>
      </c>
      <c r="O37" s="11">
        <v>0</v>
      </c>
      <c r="P37" s="1">
        <v>1</v>
      </c>
      <c r="Q37" s="1">
        <v>0</v>
      </c>
      <c r="R37" s="1">
        <v>1</v>
      </c>
      <c r="S37" s="12">
        <v>0</v>
      </c>
      <c r="T37" s="26">
        <f t="shared" si="2"/>
        <v>2</v>
      </c>
      <c r="U37" s="1">
        <v>1</v>
      </c>
      <c r="V37" s="1">
        <v>0</v>
      </c>
      <c r="W37" s="1">
        <v>1</v>
      </c>
      <c r="X37" s="1">
        <v>1</v>
      </c>
      <c r="Y37" s="1">
        <v>0</v>
      </c>
      <c r="Z37" s="26">
        <f t="shared" si="3"/>
        <v>3</v>
      </c>
      <c r="AA37" s="11">
        <v>0</v>
      </c>
      <c r="AB37" s="1">
        <v>1</v>
      </c>
      <c r="AC37" s="1">
        <v>0</v>
      </c>
      <c r="AD37" s="1">
        <v>1</v>
      </c>
      <c r="AE37" s="12">
        <v>0</v>
      </c>
      <c r="AF37" s="26">
        <f t="shared" si="4"/>
        <v>2</v>
      </c>
      <c r="AG37" s="1">
        <v>1</v>
      </c>
      <c r="AH37" s="1">
        <v>1</v>
      </c>
      <c r="AI37" s="1">
        <v>0</v>
      </c>
      <c r="AJ37" s="1">
        <v>0</v>
      </c>
      <c r="AK37" s="1">
        <v>1</v>
      </c>
      <c r="AL37" s="26">
        <f t="shared" si="5"/>
        <v>3</v>
      </c>
      <c r="AM37" s="22">
        <f t="shared" si="6"/>
        <v>33</v>
      </c>
      <c r="AN37" s="19" t="s">
        <v>94</v>
      </c>
      <c r="AO37" s="1">
        <v>0</v>
      </c>
      <c r="AP37" s="1">
        <v>1</v>
      </c>
      <c r="AQ37" s="1">
        <f t="shared" si="7"/>
        <v>1</v>
      </c>
      <c r="AR37" s="1" t="s">
        <v>205</v>
      </c>
      <c r="AS37" s="1">
        <v>400</v>
      </c>
      <c r="AT37" s="1">
        <f t="shared" si="8"/>
        <v>400</v>
      </c>
      <c r="AU37" s="1" t="s">
        <v>208</v>
      </c>
      <c r="AV37" s="1">
        <v>4.3</v>
      </c>
      <c r="AW37" s="1"/>
      <c r="AX37" s="1">
        <v>3.5</v>
      </c>
      <c r="AY37" s="1">
        <v>18.7879</v>
      </c>
      <c r="AZ37" s="12">
        <v>99.000799999999998</v>
      </c>
    </row>
    <row r="38" spans="1:52" ht="15.75">
      <c r="A38" s="11">
        <v>36</v>
      </c>
      <c r="B38" s="19" t="s">
        <v>95</v>
      </c>
      <c r="C38" s="11">
        <v>0</v>
      </c>
      <c r="D38" s="1">
        <v>1</v>
      </c>
      <c r="E38" s="1">
        <v>1</v>
      </c>
      <c r="F38" s="1">
        <v>0</v>
      </c>
      <c r="G38" s="12">
        <v>1</v>
      </c>
      <c r="H38" s="26">
        <f t="shared" si="0"/>
        <v>3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26">
        <f t="shared" si="1"/>
        <v>5</v>
      </c>
      <c r="O38" s="11">
        <v>0</v>
      </c>
      <c r="P38" s="1">
        <v>1</v>
      </c>
      <c r="Q38" s="1">
        <v>1</v>
      </c>
      <c r="R38" s="1">
        <v>0</v>
      </c>
      <c r="S38" s="12">
        <v>0</v>
      </c>
      <c r="T38" s="26">
        <f t="shared" si="2"/>
        <v>2</v>
      </c>
      <c r="U38" s="1">
        <v>1</v>
      </c>
      <c r="V38" s="1">
        <v>1</v>
      </c>
      <c r="W38" s="1">
        <v>1</v>
      </c>
      <c r="X38" s="1">
        <v>1</v>
      </c>
      <c r="Y38" s="1">
        <v>0</v>
      </c>
      <c r="Z38" s="26">
        <f t="shared" si="3"/>
        <v>4</v>
      </c>
      <c r="AA38" s="11">
        <v>1</v>
      </c>
      <c r="AB38" s="1">
        <v>1</v>
      </c>
      <c r="AC38" s="1">
        <v>1</v>
      </c>
      <c r="AD38" s="1">
        <v>1</v>
      </c>
      <c r="AE38" s="12">
        <v>1</v>
      </c>
      <c r="AF38" s="26">
        <f t="shared" si="4"/>
        <v>5</v>
      </c>
      <c r="AG38" s="1">
        <v>1</v>
      </c>
      <c r="AH38" s="1">
        <v>1</v>
      </c>
      <c r="AI38" s="1">
        <v>0</v>
      </c>
      <c r="AJ38" s="1">
        <v>0</v>
      </c>
      <c r="AK38" s="1">
        <v>1</v>
      </c>
      <c r="AL38" s="26">
        <f t="shared" si="5"/>
        <v>3</v>
      </c>
      <c r="AM38" s="22">
        <f t="shared" si="6"/>
        <v>41</v>
      </c>
      <c r="AN38" s="19" t="s">
        <v>57</v>
      </c>
      <c r="AO38" s="1">
        <v>0</v>
      </c>
      <c r="AP38" s="1">
        <v>1.5</v>
      </c>
      <c r="AQ38" s="1">
        <f t="shared" si="7"/>
        <v>1.5</v>
      </c>
      <c r="AR38" s="1" t="s">
        <v>205</v>
      </c>
      <c r="AS38" s="1">
        <v>700</v>
      </c>
      <c r="AT38" s="1">
        <f t="shared" si="8"/>
        <v>700</v>
      </c>
      <c r="AU38" s="1" t="s">
        <v>208</v>
      </c>
      <c r="AV38" s="1">
        <v>4.5999999999999996</v>
      </c>
      <c r="AW38" s="1">
        <v>4.5999999999999996</v>
      </c>
      <c r="AX38" s="1">
        <v>3.4</v>
      </c>
      <c r="AY38" s="1">
        <v>18.698499999999999</v>
      </c>
      <c r="AZ38" s="12">
        <v>98.893000000000001</v>
      </c>
    </row>
    <row r="39" spans="1:52" ht="15.75">
      <c r="A39" s="11">
        <v>37</v>
      </c>
      <c r="B39" s="19" t="s">
        <v>97</v>
      </c>
      <c r="C39" s="11">
        <v>0</v>
      </c>
      <c r="D39" s="1">
        <v>1</v>
      </c>
      <c r="E39" s="1">
        <v>1</v>
      </c>
      <c r="F39" s="1">
        <v>0</v>
      </c>
      <c r="G39" s="12">
        <v>1</v>
      </c>
      <c r="H39" s="26">
        <f t="shared" si="0"/>
        <v>3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26">
        <f t="shared" si="1"/>
        <v>5</v>
      </c>
      <c r="O39" s="11">
        <v>1</v>
      </c>
      <c r="P39" s="1">
        <v>1</v>
      </c>
      <c r="Q39" s="1">
        <v>1</v>
      </c>
      <c r="R39" s="1">
        <v>0</v>
      </c>
      <c r="S39" s="12">
        <v>0</v>
      </c>
      <c r="T39" s="26">
        <f t="shared" si="2"/>
        <v>3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26">
        <f t="shared" si="3"/>
        <v>5</v>
      </c>
      <c r="AA39" s="11">
        <v>0</v>
      </c>
      <c r="AB39" s="1">
        <v>1</v>
      </c>
      <c r="AC39" s="1">
        <v>1</v>
      </c>
      <c r="AD39" s="1">
        <v>1</v>
      </c>
      <c r="AE39" s="12">
        <v>1</v>
      </c>
      <c r="AF39" s="26">
        <f t="shared" si="4"/>
        <v>4</v>
      </c>
      <c r="AG39" s="1">
        <v>1</v>
      </c>
      <c r="AH39" s="1">
        <v>1</v>
      </c>
      <c r="AI39" s="1">
        <v>0</v>
      </c>
      <c r="AJ39" s="1">
        <v>0</v>
      </c>
      <c r="AK39" s="1">
        <v>1</v>
      </c>
      <c r="AL39" s="26">
        <f t="shared" si="5"/>
        <v>3</v>
      </c>
      <c r="AM39" s="22">
        <f t="shared" si="6"/>
        <v>43</v>
      </c>
      <c r="AN39" s="19" t="s">
        <v>60</v>
      </c>
      <c r="AO39" s="1">
        <v>0</v>
      </c>
      <c r="AP39" s="1">
        <v>1</v>
      </c>
      <c r="AQ39" s="1">
        <f t="shared" si="7"/>
        <v>1</v>
      </c>
      <c r="AR39" s="1" t="s">
        <v>205</v>
      </c>
      <c r="AS39" s="1">
        <v>500</v>
      </c>
      <c r="AT39" s="1">
        <f t="shared" si="8"/>
        <v>500</v>
      </c>
      <c r="AU39" s="1" t="s">
        <v>208</v>
      </c>
      <c r="AV39" s="1">
        <v>4.2</v>
      </c>
      <c r="AW39" s="1">
        <v>4.0999999999999996</v>
      </c>
      <c r="AX39" s="1">
        <v>4.2</v>
      </c>
      <c r="AY39" s="1">
        <v>18.760999999999999</v>
      </c>
      <c r="AZ39" s="20">
        <v>99.116</v>
      </c>
    </row>
    <row r="40" spans="1:52" ht="15.75">
      <c r="A40" s="11">
        <v>38</v>
      </c>
      <c r="B40" s="19" t="s">
        <v>98</v>
      </c>
      <c r="C40" s="11">
        <v>0</v>
      </c>
      <c r="D40" s="1">
        <v>1</v>
      </c>
      <c r="E40" s="1">
        <v>1</v>
      </c>
      <c r="F40" s="1">
        <v>0</v>
      </c>
      <c r="G40" s="12">
        <v>1</v>
      </c>
      <c r="H40" s="26">
        <f t="shared" si="0"/>
        <v>3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26">
        <f t="shared" si="1"/>
        <v>5</v>
      </c>
      <c r="O40" s="11">
        <v>1</v>
      </c>
      <c r="P40" s="1">
        <v>1</v>
      </c>
      <c r="Q40" s="1">
        <v>1</v>
      </c>
      <c r="R40" s="1">
        <v>0</v>
      </c>
      <c r="S40" s="12">
        <v>0</v>
      </c>
      <c r="T40" s="26">
        <f t="shared" si="2"/>
        <v>3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26">
        <f t="shared" si="3"/>
        <v>5</v>
      </c>
      <c r="AA40" s="11">
        <v>0</v>
      </c>
      <c r="AB40" s="1">
        <v>1</v>
      </c>
      <c r="AC40" s="1">
        <v>1</v>
      </c>
      <c r="AD40" s="1">
        <v>1</v>
      </c>
      <c r="AE40" s="12">
        <v>1</v>
      </c>
      <c r="AF40" s="26">
        <f t="shared" si="4"/>
        <v>4</v>
      </c>
      <c r="AG40" s="1">
        <v>1</v>
      </c>
      <c r="AH40" s="1">
        <v>1</v>
      </c>
      <c r="AI40" s="1">
        <v>0</v>
      </c>
      <c r="AJ40" s="1">
        <v>0</v>
      </c>
      <c r="AK40" s="1">
        <v>1</v>
      </c>
      <c r="AL40" s="26">
        <f t="shared" si="5"/>
        <v>3</v>
      </c>
      <c r="AM40" s="22">
        <f t="shared" si="6"/>
        <v>43</v>
      </c>
      <c r="AN40" s="19" t="s">
        <v>99</v>
      </c>
      <c r="AO40" s="1">
        <v>0</v>
      </c>
      <c r="AP40" s="1">
        <v>1.5</v>
      </c>
      <c r="AQ40" s="1">
        <f t="shared" si="7"/>
        <v>1.5</v>
      </c>
      <c r="AR40" s="1" t="s">
        <v>205</v>
      </c>
      <c r="AS40" s="1">
        <v>800</v>
      </c>
      <c r="AT40" s="1">
        <f t="shared" si="8"/>
        <v>800</v>
      </c>
      <c r="AU40" s="1" t="s">
        <v>208</v>
      </c>
      <c r="AV40" s="1">
        <v>4</v>
      </c>
      <c r="AW40" s="1"/>
      <c r="AX40" s="1"/>
      <c r="AY40" s="1">
        <v>18.728999999999999</v>
      </c>
      <c r="AZ40" s="12">
        <v>99.147000000000006</v>
      </c>
    </row>
    <row r="41" spans="1:52" ht="15.75">
      <c r="A41" s="11">
        <v>39</v>
      </c>
      <c r="B41" s="19" t="s">
        <v>101</v>
      </c>
      <c r="C41" s="1">
        <v>1</v>
      </c>
      <c r="D41" s="1">
        <v>1</v>
      </c>
      <c r="E41" s="1">
        <v>1</v>
      </c>
      <c r="F41" s="1">
        <v>1</v>
      </c>
      <c r="G41" s="12">
        <v>1</v>
      </c>
      <c r="H41" s="26">
        <f t="shared" si="0"/>
        <v>5</v>
      </c>
      <c r="I41" s="1">
        <v>1</v>
      </c>
      <c r="J41" s="1">
        <v>1</v>
      </c>
      <c r="K41" s="1">
        <v>0</v>
      </c>
      <c r="L41" s="1">
        <v>1</v>
      </c>
      <c r="M41" s="1">
        <v>1</v>
      </c>
      <c r="N41" s="26">
        <f t="shared" si="1"/>
        <v>4</v>
      </c>
      <c r="O41" s="11">
        <v>1</v>
      </c>
      <c r="P41" s="1">
        <v>1</v>
      </c>
      <c r="Q41" s="1">
        <v>1</v>
      </c>
      <c r="R41" s="1">
        <v>1</v>
      </c>
      <c r="S41" s="12">
        <v>1</v>
      </c>
      <c r="T41" s="26">
        <f t="shared" si="2"/>
        <v>5</v>
      </c>
      <c r="U41" s="1">
        <v>1</v>
      </c>
      <c r="V41" s="1">
        <v>1</v>
      </c>
      <c r="W41" s="1">
        <v>1</v>
      </c>
      <c r="X41" s="1">
        <v>1</v>
      </c>
      <c r="Y41" s="12">
        <v>1</v>
      </c>
      <c r="Z41" s="26">
        <f t="shared" si="3"/>
        <v>5</v>
      </c>
      <c r="AA41" s="11">
        <v>0</v>
      </c>
      <c r="AB41" s="1">
        <v>1</v>
      </c>
      <c r="AC41" s="1">
        <v>0</v>
      </c>
      <c r="AD41" s="1">
        <v>1</v>
      </c>
      <c r="AE41" s="12">
        <v>0</v>
      </c>
      <c r="AF41" s="26">
        <f t="shared" si="4"/>
        <v>2</v>
      </c>
      <c r="AG41" s="1">
        <v>1</v>
      </c>
      <c r="AH41" s="1">
        <v>1</v>
      </c>
      <c r="AI41" s="1">
        <v>0</v>
      </c>
      <c r="AJ41" s="1">
        <v>0</v>
      </c>
      <c r="AK41" s="1">
        <v>1</v>
      </c>
      <c r="AL41" s="26">
        <f t="shared" si="5"/>
        <v>3</v>
      </c>
      <c r="AM41" s="22">
        <f t="shared" si="6"/>
        <v>45</v>
      </c>
      <c r="AN41" s="19" t="s">
        <v>102</v>
      </c>
      <c r="AO41" s="1">
        <v>0</v>
      </c>
      <c r="AP41" s="1">
        <v>1.5</v>
      </c>
      <c r="AQ41" s="1">
        <f t="shared" si="7"/>
        <v>1.5</v>
      </c>
      <c r="AR41" s="1" t="s">
        <v>205</v>
      </c>
      <c r="AS41" s="1">
        <v>500</v>
      </c>
      <c r="AT41" s="1">
        <f t="shared" si="8"/>
        <v>500</v>
      </c>
      <c r="AU41" s="1" t="s">
        <v>208</v>
      </c>
      <c r="AV41" s="1">
        <v>4.5</v>
      </c>
      <c r="AW41" s="1">
        <v>4.8</v>
      </c>
      <c r="AX41" s="1">
        <v>4.0999999999999996</v>
      </c>
      <c r="AY41" s="1">
        <v>18.8004</v>
      </c>
      <c r="AZ41" s="12">
        <v>98.9679</v>
      </c>
    </row>
    <row r="42" spans="1:52" ht="15.75">
      <c r="A42" s="11">
        <v>40</v>
      </c>
      <c r="B42" s="19" t="s">
        <v>103</v>
      </c>
      <c r="C42" s="1">
        <v>1</v>
      </c>
      <c r="D42" s="1">
        <v>1</v>
      </c>
      <c r="E42" s="1">
        <v>1</v>
      </c>
      <c r="F42" s="1">
        <v>1</v>
      </c>
      <c r="G42" s="12">
        <v>1</v>
      </c>
      <c r="H42" s="26">
        <f t="shared" si="0"/>
        <v>5</v>
      </c>
      <c r="I42" s="1">
        <v>1</v>
      </c>
      <c r="J42" s="1">
        <v>1</v>
      </c>
      <c r="K42" s="1">
        <v>1</v>
      </c>
      <c r="L42" s="1">
        <v>1</v>
      </c>
      <c r="M42" s="12">
        <v>1</v>
      </c>
      <c r="N42" s="26">
        <f t="shared" si="1"/>
        <v>5</v>
      </c>
      <c r="O42" s="1">
        <v>1</v>
      </c>
      <c r="P42" s="1">
        <v>1</v>
      </c>
      <c r="Q42" s="1">
        <v>1</v>
      </c>
      <c r="R42" s="1">
        <v>1</v>
      </c>
      <c r="S42" s="12">
        <v>1</v>
      </c>
      <c r="T42" s="26">
        <f t="shared" si="2"/>
        <v>5</v>
      </c>
      <c r="U42" s="1">
        <v>1</v>
      </c>
      <c r="V42" s="1">
        <v>1</v>
      </c>
      <c r="W42" s="1">
        <v>1</v>
      </c>
      <c r="X42" s="1">
        <v>1</v>
      </c>
      <c r="Y42" s="12">
        <v>1</v>
      </c>
      <c r="Z42" s="26">
        <f t="shared" si="3"/>
        <v>5</v>
      </c>
      <c r="AA42" s="11">
        <v>0</v>
      </c>
      <c r="AB42" s="1">
        <v>1</v>
      </c>
      <c r="AC42" s="1">
        <v>0</v>
      </c>
      <c r="AD42" s="1">
        <v>1</v>
      </c>
      <c r="AE42" s="12">
        <v>0</v>
      </c>
      <c r="AF42" s="26">
        <f t="shared" si="4"/>
        <v>2</v>
      </c>
      <c r="AG42" s="1">
        <v>1</v>
      </c>
      <c r="AH42" s="1">
        <v>1</v>
      </c>
      <c r="AI42" s="1">
        <v>0</v>
      </c>
      <c r="AJ42" s="1">
        <v>0</v>
      </c>
      <c r="AK42" s="1">
        <v>1</v>
      </c>
      <c r="AL42" s="26">
        <f t="shared" si="5"/>
        <v>3</v>
      </c>
      <c r="AM42" s="22">
        <f t="shared" si="6"/>
        <v>47</v>
      </c>
      <c r="AN42" s="19" t="s">
        <v>104</v>
      </c>
      <c r="AO42" s="1">
        <v>0</v>
      </c>
      <c r="AP42" s="1">
        <v>1.5</v>
      </c>
      <c r="AQ42" s="1">
        <f t="shared" si="7"/>
        <v>1.5</v>
      </c>
      <c r="AR42" s="1" t="s">
        <v>205</v>
      </c>
      <c r="AS42" s="1">
        <v>600</v>
      </c>
      <c r="AT42" s="1">
        <f t="shared" si="8"/>
        <v>600</v>
      </c>
      <c r="AU42" s="1" t="s">
        <v>208</v>
      </c>
      <c r="AV42" s="1">
        <v>4.5</v>
      </c>
      <c r="AW42" s="1">
        <v>4.7</v>
      </c>
      <c r="AX42" s="1">
        <v>3.9</v>
      </c>
      <c r="AY42" s="1">
        <v>18.805</v>
      </c>
      <c r="AZ42" s="20">
        <v>98.99</v>
      </c>
    </row>
    <row r="43" spans="1:52" ht="15.75">
      <c r="A43" s="11">
        <v>41</v>
      </c>
      <c r="B43" s="19" t="s">
        <v>106</v>
      </c>
      <c r="C43" s="1">
        <v>1</v>
      </c>
      <c r="D43" s="1">
        <v>1</v>
      </c>
      <c r="E43" s="1">
        <v>1</v>
      </c>
      <c r="F43" s="1">
        <v>1</v>
      </c>
      <c r="G43" s="12">
        <v>1</v>
      </c>
      <c r="H43" s="26">
        <f t="shared" si="0"/>
        <v>5</v>
      </c>
      <c r="I43" s="1">
        <v>1</v>
      </c>
      <c r="J43" s="1">
        <v>1</v>
      </c>
      <c r="K43" s="1">
        <v>1</v>
      </c>
      <c r="L43" s="1">
        <v>1</v>
      </c>
      <c r="M43" s="12">
        <v>1</v>
      </c>
      <c r="N43" s="26">
        <f t="shared" si="1"/>
        <v>5</v>
      </c>
      <c r="O43" s="1">
        <v>1</v>
      </c>
      <c r="P43" s="1">
        <v>1</v>
      </c>
      <c r="Q43" s="1">
        <v>1</v>
      </c>
      <c r="R43" s="1">
        <v>0</v>
      </c>
      <c r="S43" s="12">
        <v>1</v>
      </c>
      <c r="T43" s="26">
        <f t="shared" si="2"/>
        <v>4</v>
      </c>
      <c r="U43" s="1">
        <v>0</v>
      </c>
      <c r="V43" s="1">
        <v>1</v>
      </c>
      <c r="W43" s="1">
        <v>1</v>
      </c>
      <c r="X43" s="1">
        <v>1</v>
      </c>
      <c r="Y43" s="1">
        <v>1</v>
      </c>
      <c r="Z43" s="26">
        <f t="shared" si="3"/>
        <v>4</v>
      </c>
      <c r="AA43" s="11">
        <v>0</v>
      </c>
      <c r="AB43" s="1">
        <v>1</v>
      </c>
      <c r="AC43" s="1">
        <v>1</v>
      </c>
      <c r="AD43" s="1">
        <v>1</v>
      </c>
      <c r="AE43" s="12">
        <v>1</v>
      </c>
      <c r="AF43" s="26">
        <f t="shared" si="4"/>
        <v>4</v>
      </c>
      <c r="AG43" s="1">
        <v>1</v>
      </c>
      <c r="AH43" s="1">
        <v>1</v>
      </c>
      <c r="AI43" s="1">
        <v>1</v>
      </c>
      <c r="AJ43" s="1">
        <v>1</v>
      </c>
      <c r="AK43" s="12">
        <v>1</v>
      </c>
      <c r="AL43" s="26">
        <f t="shared" si="5"/>
        <v>5</v>
      </c>
      <c r="AM43" s="22">
        <f t="shared" si="6"/>
        <v>49</v>
      </c>
      <c r="AN43" s="19" t="s">
        <v>36</v>
      </c>
      <c r="AO43" s="1">
        <v>70</v>
      </c>
      <c r="AP43" s="1">
        <v>2</v>
      </c>
      <c r="AQ43" s="1">
        <f t="shared" si="7"/>
        <v>2</v>
      </c>
      <c r="AR43" s="1" t="s">
        <v>205</v>
      </c>
      <c r="AS43" s="1">
        <v>1.5</v>
      </c>
      <c r="AT43" s="1">
        <f t="shared" si="8"/>
        <v>1500</v>
      </c>
      <c r="AU43" s="1" t="s">
        <v>209</v>
      </c>
      <c r="AV43" s="1">
        <v>4.5</v>
      </c>
      <c r="AW43" s="1">
        <v>4.5999999999999996</v>
      </c>
      <c r="AX43" s="1">
        <v>4.2</v>
      </c>
      <c r="AY43" s="1">
        <v>18.741599999999998</v>
      </c>
      <c r="AZ43" s="12">
        <v>98.924499999999995</v>
      </c>
    </row>
    <row r="44" spans="1:52" ht="15.75">
      <c r="A44" s="11">
        <v>42</v>
      </c>
      <c r="B44" s="19" t="s">
        <v>107</v>
      </c>
      <c r="C44" s="11">
        <v>0</v>
      </c>
      <c r="D44" s="1">
        <v>1</v>
      </c>
      <c r="E44" s="1">
        <v>1</v>
      </c>
      <c r="F44" s="1">
        <v>0</v>
      </c>
      <c r="G44" s="12">
        <v>1</v>
      </c>
      <c r="H44" s="26">
        <f t="shared" si="0"/>
        <v>3</v>
      </c>
      <c r="I44" s="1">
        <v>1</v>
      </c>
      <c r="J44" s="1">
        <v>1</v>
      </c>
      <c r="K44" s="1">
        <v>1</v>
      </c>
      <c r="L44" s="1">
        <v>1</v>
      </c>
      <c r="M44" s="12">
        <v>1</v>
      </c>
      <c r="N44" s="26">
        <f t="shared" si="1"/>
        <v>5</v>
      </c>
      <c r="O44" s="11">
        <v>0</v>
      </c>
      <c r="P44" s="1">
        <v>1</v>
      </c>
      <c r="Q44" s="1">
        <v>0</v>
      </c>
      <c r="R44" s="1">
        <v>0</v>
      </c>
      <c r="S44" s="12">
        <v>0</v>
      </c>
      <c r="T44" s="26">
        <f t="shared" si="2"/>
        <v>1</v>
      </c>
      <c r="U44" s="1">
        <v>1</v>
      </c>
      <c r="V44" s="1">
        <v>1</v>
      </c>
      <c r="W44" s="1">
        <v>1</v>
      </c>
      <c r="X44" s="1">
        <v>1</v>
      </c>
      <c r="Y44" s="1">
        <v>0</v>
      </c>
      <c r="Z44" s="26">
        <f t="shared" si="3"/>
        <v>4</v>
      </c>
      <c r="AA44" s="11">
        <v>0</v>
      </c>
      <c r="AB44" s="1">
        <v>1</v>
      </c>
      <c r="AC44" s="1">
        <v>0</v>
      </c>
      <c r="AD44" s="1">
        <v>1</v>
      </c>
      <c r="AE44" s="12">
        <v>0</v>
      </c>
      <c r="AF44" s="26">
        <f t="shared" si="4"/>
        <v>2</v>
      </c>
      <c r="AG44" s="1">
        <v>1</v>
      </c>
      <c r="AH44" s="1">
        <v>1</v>
      </c>
      <c r="AI44" s="1">
        <v>1</v>
      </c>
      <c r="AJ44" s="1">
        <v>1</v>
      </c>
      <c r="AK44" s="12">
        <v>1</v>
      </c>
      <c r="AL44" s="26">
        <f t="shared" si="5"/>
        <v>5</v>
      </c>
      <c r="AM44" s="22">
        <f t="shared" si="6"/>
        <v>35</v>
      </c>
      <c r="AN44" s="19" t="s">
        <v>108</v>
      </c>
      <c r="AO44" s="1">
        <v>20</v>
      </c>
      <c r="AP44" s="1">
        <v>2</v>
      </c>
      <c r="AQ44" s="1">
        <f t="shared" si="7"/>
        <v>2</v>
      </c>
      <c r="AR44" s="1" t="s">
        <v>205</v>
      </c>
      <c r="AS44" s="1">
        <v>1.2</v>
      </c>
      <c r="AT44" s="1">
        <f t="shared" si="8"/>
        <v>1200</v>
      </c>
      <c r="AU44" s="1" t="s">
        <v>209</v>
      </c>
      <c r="AV44" s="1">
        <v>4.4000000000000004</v>
      </c>
      <c r="AW44" s="1">
        <v>4.8</v>
      </c>
      <c r="AX44" s="1">
        <v>4</v>
      </c>
      <c r="AY44" s="1">
        <v>18.859000000000002</v>
      </c>
      <c r="AZ44" s="12">
        <v>98.938000000000002</v>
      </c>
    </row>
    <row r="45" spans="1:52" ht="15.75">
      <c r="A45" s="11">
        <v>43</v>
      </c>
      <c r="B45" s="19" t="s">
        <v>109</v>
      </c>
      <c r="C45" s="11">
        <v>0</v>
      </c>
      <c r="D45" s="1">
        <v>1</v>
      </c>
      <c r="E45" s="1">
        <v>1</v>
      </c>
      <c r="F45" s="1">
        <v>0</v>
      </c>
      <c r="G45" s="12">
        <v>1</v>
      </c>
      <c r="H45" s="26">
        <f t="shared" si="0"/>
        <v>3</v>
      </c>
      <c r="I45" s="1">
        <v>1</v>
      </c>
      <c r="J45" s="1">
        <v>1</v>
      </c>
      <c r="K45" s="1">
        <v>1</v>
      </c>
      <c r="L45" s="1">
        <v>1</v>
      </c>
      <c r="M45" s="12">
        <v>1</v>
      </c>
      <c r="N45" s="26">
        <f t="shared" si="1"/>
        <v>5</v>
      </c>
      <c r="O45" s="11">
        <v>0</v>
      </c>
      <c r="P45" s="1">
        <v>1</v>
      </c>
      <c r="Q45" s="1">
        <v>1</v>
      </c>
      <c r="R45" s="1">
        <v>0</v>
      </c>
      <c r="S45" s="12">
        <v>0</v>
      </c>
      <c r="T45" s="26">
        <f t="shared" si="2"/>
        <v>2</v>
      </c>
      <c r="U45" s="1">
        <v>0</v>
      </c>
      <c r="V45" s="1">
        <v>1</v>
      </c>
      <c r="W45" s="1">
        <v>0</v>
      </c>
      <c r="X45" s="1">
        <v>1</v>
      </c>
      <c r="Y45" s="1">
        <v>0</v>
      </c>
      <c r="Z45" s="26">
        <f t="shared" si="3"/>
        <v>2</v>
      </c>
      <c r="AA45" s="11">
        <v>1</v>
      </c>
      <c r="AB45" s="1">
        <v>1</v>
      </c>
      <c r="AC45" s="1">
        <v>0</v>
      </c>
      <c r="AD45" s="1">
        <v>1</v>
      </c>
      <c r="AE45" s="12">
        <v>1</v>
      </c>
      <c r="AF45" s="26">
        <f t="shared" si="4"/>
        <v>4</v>
      </c>
      <c r="AG45" s="1">
        <v>1</v>
      </c>
      <c r="AH45" s="1">
        <v>1</v>
      </c>
      <c r="AI45" s="1">
        <v>1</v>
      </c>
      <c r="AJ45" s="1">
        <v>1</v>
      </c>
      <c r="AK45" s="12">
        <v>1</v>
      </c>
      <c r="AL45" s="26">
        <f t="shared" si="5"/>
        <v>5</v>
      </c>
      <c r="AM45" s="22">
        <f t="shared" si="6"/>
        <v>37</v>
      </c>
      <c r="AN45" s="19" t="s">
        <v>110</v>
      </c>
      <c r="AO45" s="1">
        <v>0</v>
      </c>
      <c r="AP45" s="1">
        <v>3</v>
      </c>
      <c r="AQ45" s="1">
        <f t="shared" si="7"/>
        <v>3</v>
      </c>
      <c r="AR45" s="1" t="s">
        <v>205</v>
      </c>
      <c r="AS45" s="1">
        <v>2</v>
      </c>
      <c r="AT45" s="1">
        <f t="shared" si="8"/>
        <v>2000</v>
      </c>
      <c r="AU45" s="1" t="s">
        <v>209</v>
      </c>
      <c r="AV45" s="1">
        <v>4.5</v>
      </c>
      <c r="AW45" s="1">
        <v>4.7</v>
      </c>
      <c r="AX45" s="1"/>
      <c r="AY45" s="1">
        <v>18.805800000000001</v>
      </c>
      <c r="AZ45" s="20">
        <v>98.921499999999995</v>
      </c>
    </row>
    <row r="46" spans="1:52" ht="15.75">
      <c r="A46" s="11">
        <v>44</v>
      </c>
      <c r="B46" s="19" t="s">
        <v>111</v>
      </c>
      <c r="C46" s="11">
        <v>0</v>
      </c>
      <c r="D46" s="1">
        <v>1</v>
      </c>
      <c r="E46" s="1">
        <v>1</v>
      </c>
      <c r="F46" s="1">
        <v>0</v>
      </c>
      <c r="G46" s="12">
        <v>1</v>
      </c>
      <c r="H46" s="26">
        <f t="shared" si="0"/>
        <v>3</v>
      </c>
      <c r="I46" s="1">
        <v>0</v>
      </c>
      <c r="J46" s="1">
        <v>0</v>
      </c>
      <c r="K46" s="1">
        <v>1</v>
      </c>
      <c r="L46" s="1">
        <v>1</v>
      </c>
      <c r="M46" s="1">
        <v>1</v>
      </c>
      <c r="N46" s="26">
        <f t="shared" si="1"/>
        <v>3</v>
      </c>
      <c r="O46" s="11">
        <v>0</v>
      </c>
      <c r="P46" s="1">
        <v>0</v>
      </c>
      <c r="Q46" s="1">
        <v>0</v>
      </c>
      <c r="R46" s="1">
        <v>0</v>
      </c>
      <c r="S46" s="12">
        <v>0</v>
      </c>
      <c r="T46" s="26">
        <f t="shared" si="2"/>
        <v>0</v>
      </c>
      <c r="U46" s="11">
        <v>0</v>
      </c>
      <c r="V46" s="1">
        <v>0</v>
      </c>
      <c r="W46" s="1">
        <v>0</v>
      </c>
      <c r="X46" s="1">
        <v>1</v>
      </c>
      <c r="Y46" s="12">
        <v>0</v>
      </c>
      <c r="Z46" s="26">
        <f t="shared" si="3"/>
        <v>1</v>
      </c>
      <c r="AA46" s="11">
        <v>1</v>
      </c>
      <c r="AB46" s="1">
        <v>0</v>
      </c>
      <c r="AC46" s="1">
        <v>0</v>
      </c>
      <c r="AD46" s="1">
        <v>0</v>
      </c>
      <c r="AE46" s="12">
        <v>0</v>
      </c>
      <c r="AF46" s="26">
        <f t="shared" si="4"/>
        <v>1</v>
      </c>
      <c r="AG46" s="1">
        <v>1</v>
      </c>
      <c r="AH46" s="1">
        <v>1</v>
      </c>
      <c r="AI46" s="1">
        <v>1</v>
      </c>
      <c r="AJ46" s="1">
        <v>1</v>
      </c>
      <c r="AK46" s="12">
        <v>0</v>
      </c>
      <c r="AL46" s="26">
        <f t="shared" si="5"/>
        <v>4</v>
      </c>
      <c r="AM46" s="22">
        <f t="shared" si="6"/>
        <v>20</v>
      </c>
      <c r="AN46" s="19" t="s">
        <v>112</v>
      </c>
      <c r="AO46" s="1">
        <v>0</v>
      </c>
      <c r="AP46" s="1">
        <v>2</v>
      </c>
      <c r="AQ46" s="1">
        <f t="shared" si="7"/>
        <v>2</v>
      </c>
      <c r="AR46" s="1" t="s">
        <v>205</v>
      </c>
      <c r="AS46" s="1">
        <v>1.5</v>
      </c>
      <c r="AT46" s="1">
        <f t="shared" si="8"/>
        <v>1500</v>
      </c>
      <c r="AU46" s="1" t="s">
        <v>209</v>
      </c>
      <c r="AV46" s="1">
        <v>4.7</v>
      </c>
      <c r="AW46" s="1"/>
      <c r="AX46" s="1"/>
      <c r="AY46" s="1">
        <v>18.63</v>
      </c>
      <c r="AZ46" s="12">
        <v>98.822999999999993</v>
      </c>
    </row>
    <row r="47" spans="1:52" ht="15.75">
      <c r="A47" s="11">
        <v>45</v>
      </c>
      <c r="B47" s="19" t="s">
        <v>113</v>
      </c>
      <c r="C47" s="11">
        <v>1</v>
      </c>
      <c r="D47" s="1">
        <v>1</v>
      </c>
      <c r="E47" s="1">
        <v>1</v>
      </c>
      <c r="F47" s="1">
        <v>0</v>
      </c>
      <c r="G47" s="12">
        <v>0</v>
      </c>
      <c r="H47" s="26">
        <f t="shared" si="0"/>
        <v>3</v>
      </c>
      <c r="I47" s="1">
        <v>1</v>
      </c>
      <c r="J47" s="1">
        <v>1</v>
      </c>
      <c r="K47" s="1">
        <v>1</v>
      </c>
      <c r="L47" s="1">
        <v>1</v>
      </c>
      <c r="M47" s="12">
        <v>1</v>
      </c>
      <c r="N47" s="26">
        <f t="shared" si="1"/>
        <v>5</v>
      </c>
      <c r="O47" s="11">
        <v>0</v>
      </c>
      <c r="P47" s="1">
        <v>0</v>
      </c>
      <c r="Q47" s="1">
        <v>1</v>
      </c>
      <c r="R47" s="1">
        <v>0</v>
      </c>
      <c r="S47" s="12">
        <v>0</v>
      </c>
      <c r="T47" s="26">
        <f t="shared" si="2"/>
        <v>1</v>
      </c>
      <c r="U47" s="1">
        <v>1</v>
      </c>
      <c r="V47" s="1">
        <v>1</v>
      </c>
      <c r="W47" s="1">
        <v>0</v>
      </c>
      <c r="X47" s="1">
        <v>1</v>
      </c>
      <c r="Y47" s="1">
        <v>0</v>
      </c>
      <c r="Z47" s="26">
        <f t="shared" si="3"/>
        <v>3</v>
      </c>
      <c r="AA47" s="11">
        <v>1</v>
      </c>
      <c r="AB47" s="1">
        <v>0</v>
      </c>
      <c r="AC47" s="1">
        <v>0</v>
      </c>
      <c r="AD47" s="1">
        <v>0</v>
      </c>
      <c r="AE47" s="12">
        <v>1</v>
      </c>
      <c r="AF47" s="26">
        <f t="shared" si="4"/>
        <v>2</v>
      </c>
      <c r="AG47" s="1">
        <v>1</v>
      </c>
      <c r="AH47" s="1">
        <v>1</v>
      </c>
      <c r="AI47" s="1">
        <v>1</v>
      </c>
      <c r="AJ47" s="1">
        <v>1</v>
      </c>
      <c r="AK47" s="12">
        <v>0</v>
      </c>
      <c r="AL47" s="26">
        <f t="shared" si="5"/>
        <v>4</v>
      </c>
      <c r="AM47" s="22">
        <f t="shared" si="6"/>
        <v>32</v>
      </c>
      <c r="AN47" s="19" t="s">
        <v>114</v>
      </c>
      <c r="AO47" s="1">
        <v>50</v>
      </c>
      <c r="AP47" s="1">
        <v>1</v>
      </c>
      <c r="AQ47" s="1">
        <f t="shared" si="7"/>
        <v>1</v>
      </c>
      <c r="AR47" s="1" t="s">
        <v>205</v>
      </c>
      <c r="AS47" s="1">
        <v>1</v>
      </c>
      <c r="AT47" s="1">
        <f t="shared" si="8"/>
        <v>1000</v>
      </c>
      <c r="AU47" s="1" t="s">
        <v>209</v>
      </c>
      <c r="AV47" s="1">
        <v>4.5</v>
      </c>
      <c r="AW47" s="1">
        <v>4.7</v>
      </c>
      <c r="AX47" s="1">
        <v>4.2</v>
      </c>
      <c r="AY47" s="1">
        <v>18.588899999999999</v>
      </c>
      <c r="AZ47" s="12">
        <v>98.480999999999995</v>
      </c>
    </row>
    <row r="48" spans="1:52" ht="15.75">
      <c r="A48" s="11">
        <v>46</v>
      </c>
      <c r="B48" s="19" t="s">
        <v>115</v>
      </c>
      <c r="C48" s="11">
        <v>1</v>
      </c>
      <c r="D48" s="1">
        <v>1</v>
      </c>
      <c r="E48" s="1">
        <v>1</v>
      </c>
      <c r="F48" s="1">
        <v>0</v>
      </c>
      <c r="G48" s="12">
        <v>1</v>
      </c>
      <c r="H48" s="26">
        <f t="shared" si="0"/>
        <v>4</v>
      </c>
      <c r="I48" s="1">
        <v>1</v>
      </c>
      <c r="J48" s="1">
        <v>1</v>
      </c>
      <c r="K48" s="1">
        <v>1</v>
      </c>
      <c r="L48" s="1">
        <v>1</v>
      </c>
      <c r="M48" s="12">
        <v>1</v>
      </c>
      <c r="N48" s="26">
        <f t="shared" si="1"/>
        <v>5</v>
      </c>
      <c r="O48" s="11">
        <v>0</v>
      </c>
      <c r="P48" s="1">
        <v>1</v>
      </c>
      <c r="Q48" s="1">
        <v>1</v>
      </c>
      <c r="R48" s="1">
        <v>0</v>
      </c>
      <c r="S48" s="12">
        <v>0</v>
      </c>
      <c r="T48" s="26">
        <f t="shared" si="2"/>
        <v>2</v>
      </c>
      <c r="U48" s="1">
        <v>1</v>
      </c>
      <c r="V48" s="1">
        <v>1</v>
      </c>
      <c r="W48" s="1">
        <v>0</v>
      </c>
      <c r="X48" s="1">
        <v>1</v>
      </c>
      <c r="Y48" s="1">
        <v>1</v>
      </c>
      <c r="Z48" s="26">
        <f t="shared" si="3"/>
        <v>4</v>
      </c>
      <c r="AA48" s="11">
        <v>1</v>
      </c>
      <c r="AB48" s="1">
        <v>0</v>
      </c>
      <c r="AC48" s="1">
        <v>0</v>
      </c>
      <c r="AD48" s="1">
        <v>1</v>
      </c>
      <c r="AE48" s="12">
        <v>1</v>
      </c>
      <c r="AF48" s="26">
        <f t="shared" si="4"/>
        <v>3</v>
      </c>
      <c r="AG48" s="1">
        <v>1</v>
      </c>
      <c r="AH48" s="1">
        <v>1</v>
      </c>
      <c r="AI48" s="1">
        <v>1</v>
      </c>
      <c r="AJ48" s="1">
        <v>0</v>
      </c>
      <c r="AK48" s="12">
        <v>1</v>
      </c>
      <c r="AL48" s="26">
        <f t="shared" si="5"/>
        <v>4</v>
      </c>
      <c r="AM48" s="22">
        <f t="shared" si="6"/>
        <v>40</v>
      </c>
      <c r="AN48" s="19" t="s">
        <v>116</v>
      </c>
      <c r="AO48" s="1">
        <v>20</v>
      </c>
      <c r="AP48" s="1">
        <v>1.5</v>
      </c>
      <c r="AQ48" s="1">
        <f t="shared" si="7"/>
        <v>1.5</v>
      </c>
      <c r="AR48" s="1" t="s">
        <v>205</v>
      </c>
      <c r="AS48" s="1">
        <v>1</v>
      </c>
      <c r="AT48" s="1">
        <f t="shared" si="8"/>
        <v>1000</v>
      </c>
      <c r="AU48" s="1" t="s">
        <v>209</v>
      </c>
      <c r="AV48" s="1">
        <v>4.3</v>
      </c>
      <c r="AW48" s="1">
        <v>4.3</v>
      </c>
      <c r="AX48" s="1">
        <v>4.3</v>
      </c>
      <c r="AY48" s="1">
        <v>18.823499999999999</v>
      </c>
      <c r="AZ48" s="20">
        <v>98.921800000000005</v>
      </c>
    </row>
    <row r="49" spans="1:52" ht="15.75">
      <c r="A49" s="11">
        <v>47</v>
      </c>
      <c r="B49" s="19" t="s">
        <v>117</v>
      </c>
      <c r="C49" s="11">
        <v>0</v>
      </c>
      <c r="D49" s="1">
        <v>1</v>
      </c>
      <c r="E49" s="1">
        <v>1</v>
      </c>
      <c r="F49" s="1">
        <v>0</v>
      </c>
      <c r="G49" s="12">
        <v>0</v>
      </c>
      <c r="H49" s="26">
        <f t="shared" si="0"/>
        <v>2</v>
      </c>
      <c r="I49" s="1">
        <v>0</v>
      </c>
      <c r="J49" s="1">
        <v>0</v>
      </c>
      <c r="K49" s="1">
        <v>1</v>
      </c>
      <c r="L49" s="1">
        <v>1</v>
      </c>
      <c r="M49" s="1">
        <v>1</v>
      </c>
      <c r="N49" s="26">
        <f t="shared" si="1"/>
        <v>3</v>
      </c>
      <c r="O49" s="11">
        <v>0</v>
      </c>
      <c r="P49" s="1">
        <v>0</v>
      </c>
      <c r="Q49" s="1">
        <v>0</v>
      </c>
      <c r="R49" s="1">
        <v>0</v>
      </c>
      <c r="S49" s="12">
        <v>0</v>
      </c>
      <c r="T49" s="26">
        <f t="shared" si="2"/>
        <v>0</v>
      </c>
      <c r="U49" s="11">
        <v>0</v>
      </c>
      <c r="V49" s="1">
        <v>0</v>
      </c>
      <c r="W49" s="1">
        <v>0</v>
      </c>
      <c r="X49" s="1">
        <v>1</v>
      </c>
      <c r="Y49" s="12">
        <v>0</v>
      </c>
      <c r="Z49" s="26">
        <f t="shared" si="3"/>
        <v>1</v>
      </c>
      <c r="AA49" s="11">
        <v>0</v>
      </c>
      <c r="AB49" s="1">
        <v>0</v>
      </c>
      <c r="AC49" s="1">
        <v>0</v>
      </c>
      <c r="AD49" s="1">
        <v>0</v>
      </c>
      <c r="AE49" s="12">
        <v>0</v>
      </c>
      <c r="AF49" s="26">
        <f t="shared" si="4"/>
        <v>0</v>
      </c>
      <c r="AG49" s="1">
        <v>1</v>
      </c>
      <c r="AH49" s="1">
        <v>1</v>
      </c>
      <c r="AI49" s="1">
        <v>1</v>
      </c>
      <c r="AJ49" s="1">
        <v>0</v>
      </c>
      <c r="AK49" s="12">
        <v>0</v>
      </c>
      <c r="AL49" s="26">
        <f t="shared" si="5"/>
        <v>3</v>
      </c>
      <c r="AM49" s="22">
        <f t="shared" si="6"/>
        <v>15</v>
      </c>
      <c r="AN49" s="19" t="s">
        <v>28</v>
      </c>
      <c r="AO49" s="1">
        <v>0</v>
      </c>
      <c r="AP49" s="1">
        <v>1</v>
      </c>
      <c r="AQ49" s="1">
        <f t="shared" si="7"/>
        <v>1</v>
      </c>
      <c r="AR49" s="1" t="s">
        <v>205</v>
      </c>
      <c r="AS49" s="1">
        <v>0.8</v>
      </c>
      <c r="AT49" s="1">
        <f t="shared" si="8"/>
        <v>800</v>
      </c>
      <c r="AU49" s="1" t="s">
        <v>209</v>
      </c>
      <c r="AV49" s="1">
        <v>4.3</v>
      </c>
      <c r="AW49" s="1">
        <v>4.7</v>
      </c>
      <c r="AX49" s="1">
        <v>3.3</v>
      </c>
      <c r="AY49" s="1">
        <v>18.805</v>
      </c>
      <c r="AZ49" s="12">
        <v>98.944000000000003</v>
      </c>
    </row>
    <row r="50" spans="1:52" ht="15.75">
      <c r="A50" s="11">
        <v>48</v>
      </c>
      <c r="B50" s="19" t="s">
        <v>119</v>
      </c>
      <c r="C50" s="11">
        <v>0</v>
      </c>
      <c r="D50" s="1">
        <v>1</v>
      </c>
      <c r="E50" s="1">
        <v>1</v>
      </c>
      <c r="F50" s="1">
        <v>0</v>
      </c>
      <c r="G50" s="12">
        <v>1</v>
      </c>
      <c r="H50" s="26">
        <f t="shared" si="0"/>
        <v>3</v>
      </c>
      <c r="I50" s="1">
        <v>0</v>
      </c>
      <c r="J50" s="1">
        <v>0</v>
      </c>
      <c r="K50" s="1">
        <v>1</v>
      </c>
      <c r="L50" s="1">
        <v>1</v>
      </c>
      <c r="M50" s="1">
        <v>1</v>
      </c>
      <c r="N50" s="26">
        <f t="shared" si="1"/>
        <v>3</v>
      </c>
      <c r="O50" s="11">
        <v>0</v>
      </c>
      <c r="P50" s="1">
        <v>0</v>
      </c>
      <c r="Q50" s="1">
        <v>1</v>
      </c>
      <c r="R50" s="1">
        <v>0</v>
      </c>
      <c r="S50" s="12">
        <v>0</v>
      </c>
      <c r="T50" s="26">
        <f t="shared" si="2"/>
        <v>1</v>
      </c>
      <c r="U50" s="1">
        <v>0</v>
      </c>
      <c r="V50" s="1">
        <v>1</v>
      </c>
      <c r="W50" s="1">
        <v>0</v>
      </c>
      <c r="X50" s="1">
        <v>1</v>
      </c>
      <c r="Y50" s="1">
        <v>0</v>
      </c>
      <c r="Z50" s="26">
        <f t="shared" si="3"/>
        <v>2</v>
      </c>
      <c r="AA50" s="11">
        <v>1</v>
      </c>
      <c r="AB50" s="1">
        <v>0</v>
      </c>
      <c r="AC50" s="1">
        <v>0</v>
      </c>
      <c r="AD50" s="1">
        <v>0</v>
      </c>
      <c r="AE50" s="12">
        <v>0</v>
      </c>
      <c r="AF50" s="26">
        <f t="shared" si="4"/>
        <v>1</v>
      </c>
      <c r="AG50" s="1">
        <v>1</v>
      </c>
      <c r="AH50" s="1">
        <v>1</v>
      </c>
      <c r="AI50" s="1">
        <v>1</v>
      </c>
      <c r="AJ50" s="1">
        <v>0</v>
      </c>
      <c r="AK50" s="12">
        <v>0</v>
      </c>
      <c r="AL50" s="26">
        <f t="shared" si="5"/>
        <v>3</v>
      </c>
      <c r="AM50" s="22">
        <f t="shared" si="6"/>
        <v>23</v>
      </c>
      <c r="AN50" s="19" t="s">
        <v>60</v>
      </c>
      <c r="AO50" s="1">
        <v>0</v>
      </c>
      <c r="AP50" s="1">
        <v>2</v>
      </c>
      <c r="AQ50" s="1">
        <f t="shared" si="7"/>
        <v>2</v>
      </c>
      <c r="AR50" s="1" t="s">
        <v>205</v>
      </c>
      <c r="AS50" s="1">
        <v>1</v>
      </c>
      <c r="AT50" s="1">
        <f t="shared" si="8"/>
        <v>1000</v>
      </c>
      <c r="AU50" s="1" t="s">
        <v>209</v>
      </c>
      <c r="AV50" s="1">
        <v>4.7</v>
      </c>
      <c r="AW50" s="1">
        <v>4.8</v>
      </c>
      <c r="AX50" s="1">
        <v>4</v>
      </c>
      <c r="AY50" s="1">
        <v>19.046900000000001</v>
      </c>
      <c r="AZ50" s="12">
        <v>99.007999999999996</v>
      </c>
    </row>
    <row r="51" spans="1:52" ht="15.75">
      <c r="A51" s="11">
        <v>49</v>
      </c>
      <c r="B51" s="19" t="s">
        <v>120</v>
      </c>
      <c r="C51" s="11">
        <v>0</v>
      </c>
      <c r="D51" s="1">
        <v>1</v>
      </c>
      <c r="E51" s="1">
        <v>1</v>
      </c>
      <c r="F51" s="1">
        <v>0</v>
      </c>
      <c r="G51" s="12">
        <v>1</v>
      </c>
      <c r="H51" s="26">
        <f t="shared" si="0"/>
        <v>3</v>
      </c>
      <c r="I51" s="1">
        <v>0</v>
      </c>
      <c r="J51" s="1">
        <v>0</v>
      </c>
      <c r="K51" s="1">
        <v>1</v>
      </c>
      <c r="L51" s="1">
        <v>1</v>
      </c>
      <c r="M51" s="1">
        <v>1</v>
      </c>
      <c r="N51" s="26">
        <f t="shared" si="1"/>
        <v>3</v>
      </c>
      <c r="O51" s="11">
        <v>0</v>
      </c>
      <c r="P51" s="1">
        <v>0</v>
      </c>
      <c r="Q51" s="1">
        <v>1</v>
      </c>
      <c r="R51" s="1">
        <v>0</v>
      </c>
      <c r="S51" s="12">
        <v>0</v>
      </c>
      <c r="T51" s="26">
        <f t="shared" si="2"/>
        <v>1</v>
      </c>
      <c r="U51" s="1">
        <v>0</v>
      </c>
      <c r="V51" s="1">
        <v>0</v>
      </c>
      <c r="W51" s="1">
        <v>0</v>
      </c>
      <c r="X51" s="1">
        <v>1</v>
      </c>
      <c r="Y51" s="1">
        <v>0</v>
      </c>
      <c r="Z51" s="26">
        <f t="shared" si="3"/>
        <v>1</v>
      </c>
      <c r="AA51" s="11">
        <v>1</v>
      </c>
      <c r="AB51" s="1">
        <v>0</v>
      </c>
      <c r="AC51" s="1">
        <v>0</v>
      </c>
      <c r="AD51" s="1">
        <v>0</v>
      </c>
      <c r="AE51" s="12">
        <v>0</v>
      </c>
      <c r="AF51" s="26">
        <f t="shared" si="4"/>
        <v>1</v>
      </c>
      <c r="AG51" s="1">
        <v>1</v>
      </c>
      <c r="AH51" s="1">
        <v>1</v>
      </c>
      <c r="AI51" s="1">
        <v>1</v>
      </c>
      <c r="AJ51" s="1">
        <v>0</v>
      </c>
      <c r="AK51" s="12">
        <v>0</v>
      </c>
      <c r="AL51" s="26">
        <f t="shared" si="5"/>
        <v>3</v>
      </c>
      <c r="AM51" s="22">
        <f t="shared" si="6"/>
        <v>21</v>
      </c>
      <c r="AN51" s="19" t="s">
        <v>121</v>
      </c>
      <c r="AO51" s="1">
        <v>20</v>
      </c>
      <c r="AP51" s="1">
        <v>2</v>
      </c>
      <c r="AQ51" s="1">
        <f t="shared" si="7"/>
        <v>2</v>
      </c>
      <c r="AR51" s="1" t="s">
        <v>205</v>
      </c>
      <c r="AS51" s="1">
        <v>1.5</v>
      </c>
      <c r="AT51" s="1">
        <f t="shared" si="8"/>
        <v>1500</v>
      </c>
      <c r="AU51" s="1" t="s">
        <v>209</v>
      </c>
      <c r="AV51" s="1">
        <v>4.4000000000000004</v>
      </c>
      <c r="AW51" s="1">
        <v>4.8</v>
      </c>
      <c r="AX51" s="1">
        <v>3.8</v>
      </c>
      <c r="AY51" s="1">
        <v>18.890999999999998</v>
      </c>
      <c r="AZ51" s="20">
        <v>98.891000000000005</v>
      </c>
    </row>
    <row r="52" spans="1:52" ht="15.75">
      <c r="A52" s="13">
        <v>50</v>
      </c>
      <c r="B52" s="21" t="s">
        <v>122</v>
      </c>
      <c r="C52" s="13">
        <v>0</v>
      </c>
      <c r="D52" s="14">
        <v>1</v>
      </c>
      <c r="E52" s="14">
        <v>1</v>
      </c>
      <c r="F52" s="14">
        <v>0</v>
      </c>
      <c r="G52" s="15">
        <v>1</v>
      </c>
      <c r="H52" s="26">
        <f t="shared" si="0"/>
        <v>3</v>
      </c>
      <c r="I52" s="14">
        <v>1</v>
      </c>
      <c r="J52" s="14">
        <v>1</v>
      </c>
      <c r="K52" s="14">
        <v>1</v>
      </c>
      <c r="L52" s="14">
        <v>1</v>
      </c>
      <c r="M52" s="14">
        <v>1</v>
      </c>
      <c r="N52" s="26">
        <f t="shared" si="1"/>
        <v>5</v>
      </c>
      <c r="O52" s="13">
        <v>0</v>
      </c>
      <c r="P52" s="14">
        <v>0</v>
      </c>
      <c r="Q52" s="14">
        <v>1</v>
      </c>
      <c r="R52" s="14">
        <v>0</v>
      </c>
      <c r="S52" s="15">
        <v>0</v>
      </c>
      <c r="T52" s="26">
        <f t="shared" si="2"/>
        <v>1</v>
      </c>
      <c r="U52" s="14">
        <v>0</v>
      </c>
      <c r="V52" s="14">
        <v>1</v>
      </c>
      <c r="W52" s="14">
        <v>0</v>
      </c>
      <c r="X52" s="14">
        <v>1</v>
      </c>
      <c r="Y52" s="14">
        <v>0</v>
      </c>
      <c r="Z52" s="26">
        <f t="shared" si="3"/>
        <v>2</v>
      </c>
      <c r="AA52" s="13">
        <v>1</v>
      </c>
      <c r="AB52" s="14">
        <v>1</v>
      </c>
      <c r="AC52" s="14">
        <v>1</v>
      </c>
      <c r="AD52" s="14">
        <v>1</v>
      </c>
      <c r="AE52" s="15">
        <v>1</v>
      </c>
      <c r="AF52" s="26">
        <f t="shared" si="4"/>
        <v>5</v>
      </c>
      <c r="AG52" s="13">
        <v>1</v>
      </c>
      <c r="AH52" s="14">
        <v>1</v>
      </c>
      <c r="AI52" s="14">
        <v>1</v>
      </c>
      <c r="AJ52" s="14">
        <v>1</v>
      </c>
      <c r="AK52" s="15">
        <v>1</v>
      </c>
      <c r="AL52" s="26">
        <f t="shared" si="5"/>
        <v>5</v>
      </c>
      <c r="AM52" s="23">
        <f t="shared" si="6"/>
        <v>37</v>
      </c>
      <c r="AN52" s="21" t="s">
        <v>28</v>
      </c>
      <c r="AO52" s="14">
        <v>0</v>
      </c>
      <c r="AP52" s="14">
        <v>3</v>
      </c>
      <c r="AQ52" s="1">
        <f t="shared" si="7"/>
        <v>3</v>
      </c>
      <c r="AR52" s="14" t="s">
        <v>205</v>
      </c>
      <c r="AS52" s="14">
        <v>2</v>
      </c>
      <c r="AT52" s="1">
        <f t="shared" si="8"/>
        <v>2000</v>
      </c>
      <c r="AU52" s="14" t="s">
        <v>209</v>
      </c>
      <c r="AV52" s="14">
        <v>4.5</v>
      </c>
      <c r="AW52" s="14">
        <v>4.8</v>
      </c>
      <c r="AX52" s="14"/>
      <c r="AY52" s="14">
        <v>18.864999999999998</v>
      </c>
      <c r="AZ52" s="15">
        <v>99.343000000000004</v>
      </c>
    </row>
  </sheetData>
  <mergeCells count="18">
    <mergeCell ref="AZ1:AZ2"/>
    <mergeCell ref="AA1:AE1"/>
    <mergeCell ref="AG1:AK1"/>
    <mergeCell ref="AM1:AM2"/>
    <mergeCell ref="AN1:AN2"/>
    <mergeCell ref="AO1:AO2"/>
    <mergeCell ref="AP1:AP2"/>
    <mergeCell ref="AS1:AS2"/>
    <mergeCell ref="AV1:AV2"/>
    <mergeCell ref="AW1:AW2"/>
    <mergeCell ref="AX1:AX2"/>
    <mergeCell ref="AY1:AY2"/>
    <mergeCell ref="U1:Y1"/>
    <mergeCell ref="A1:A2"/>
    <mergeCell ref="B1:B2"/>
    <mergeCell ref="C1:G1"/>
    <mergeCell ref="I1:M1"/>
    <mergeCell ref="O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A2D6-18E7-4141-8693-80247698747F}">
  <dimension ref="A1:C52"/>
  <sheetViews>
    <sheetView topLeftCell="A17" workbookViewId="0">
      <selection activeCell="B3" sqref="B3:C52"/>
    </sheetView>
  </sheetViews>
  <sheetFormatPr defaultColWidth="11.5546875" defaultRowHeight="15"/>
  <sheetData>
    <row r="1" spans="1:3">
      <c r="A1" t="s">
        <v>0</v>
      </c>
      <c r="B1" t="s">
        <v>11</v>
      </c>
      <c r="C1" t="s">
        <v>12</v>
      </c>
    </row>
    <row r="2" spans="1:3">
      <c r="A2">
        <v>0</v>
      </c>
      <c r="B2">
        <v>18.805288999999998</v>
      </c>
      <c r="C2">
        <v>98.959698000000003</v>
      </c>
    </row>
    <row r="3" spans="1:3" ht="15.75">
      <c r="A3">
        <v>1</v>
      </c>
      <c r="B3" s="1">
        <v>18.805</v>
      </c>
      <c r="C3" s="12">
        <v>98.921599999999998</v>
      </c>
    </row>
    <row r="4" spans="1:3" ht="15.75">
      <c r="A4">
        <v>2</v>
      </c>
      <c r="B4" s="1">
        <v>18.786999999999999</v>
      </c>
      <c r="C4" s="12">
        <v>98.986599999999996</v>
      </c>
    </row>
    <row r="5" spans="1:3" ht="15.75">
      <c r="A5">
        <v>3</v>
      </c>
      <c r="B5" s="1">
        <v>18.788499999999999</v>
      </c>
      <c r="C5" s="12">
        <v>98.981999999999999</v>
      </c>
    </row>
    <row r="6" spans="1:3" ht="15.75">
      <c r="A6">
        <v>4</v>
      </c>
      <c r="B6" s="1">
        <v>18.782699999999998</v>
      </c>
      <c r="C6" s="12">
        <v>98.952100000000002</v>
      </c>
    </row>
    <row r="7" spans="1:3" ht="15.75">
      <c r="A7">
        <v>5</v>
      </c>
      <c r="B7" s="1">
        <v>18.793800000000001</v>
      </c>
      <c r="C7" s="12">
        <v>98.9893</v>
      </c>
    </row>
    <row r="8" spans="1:3" ht="15.75">
      <c r="A8">
        <v>6</v>
      </c>
      <c r="B8" s="1">
        <v>18.7882</v>
      </c>
      <c r="C8" s="12">
        <v>98.967799999999997</v>
      </c>
    </row>
    <row r="9" spans="1:3" ht="15.75">
      <c r="A9">
        <v>7</v>
      </c>
      <c r="B9" s="1">
        <v>18.786000000000001</v>
      </c>
      <c r="C9" s="12">
        <v>98.982600000000005</v>
      </c>
    </row>
    <row r="10" spans="1:3" ht="15.75">
      <c r="A10">
        <v>8</v>
      </c>
      <c r="B10" s="1">
        <v>18.778700000000001</v>
      </c>
      <c r="C10" s="12">
        <v>98.983699999999999</v>
      </c>
    </row>
    <row r="11" spans="1:3" ht="15.75">
      <c r="A11">
        <v>9</v>
      </c>
      <c r="B11" s="1">
        <v>18.788</v>
      </c>
      <c r="C11" s="12">
        <v>98.9983</v>
      </c>
    </row>
    <row r="12" spans="1:3" ht="15.75">
      <c r="A12">
        <v>10</v>
      </c>
      <c r="B12" s="1">
        <v>18.792400000000001</v>
      </c>
      <c r="C12" s="12">
        <v>99.003399999999999</v>
      </c>
    </row>
    <row r="13" spans="1:3" ht="15.75">
      <c r="A13">
        <v>11</v>
      </c>
      <c r="B13" s="1">
        <v>18.788900000000002</v>
      </c>
      <c r="C13" s="12">
        <v>98.990799999999993</v>
      </c>
    </row>
    <row r="14" spans="1:3" ht="15.75">
      <c r="A14">
        <v>12</v>
      </c>
      <c r="B14" s="1">
        <v>18.790199999999999</v>
      </c>
      <c r="C14" s="12">
        <v>98.988399999999999</v>
      </c>
    </row>
    <row r="15" spans="1:3" ht="15.75">
      <c r="A15">
        <v>13</v>
      </c>
      <c r="B15" s="1">
        <v>18.811199999999999</v>
      </c>
      <c r="C15" s="20">
        <v>98.976399999999998</v>
      </c>
    </row>
    <row r="16" spans="1:3" ht="15.75">
      <c r="A16">
        <v>14</v>
      </c>
      <c r="B16" s="1">
        <v>18.821400000000001</v>
      </c>
      <c r="C16" s="12">
        <v>98.974699999999999</v>
      </c>
    </row>
    <row r="17" spans="1:3" ht="15.75">
      <c r="A17">
        <v>15</v>
      </c>
      <c r="B17" s="1">
        <v>18.757200000000001</v>
      </c>
      <c r="C17" s="12">
        <v>99.093699999999998</v>
      </c>
    </row>
    <row r="18" spans="1:3" ht="15.75">
      <c r="A18">
        <v>16</v>
      </c>
      <c r="B18" s="1">
        <v>18.782800000000002</v>
      </c>
      <c r="C18" s="20">
        <v>99.000299999999996</v>
      </c>
    </row>
    <row r="19" spans="1:3" ht="15.75">
      <c r="A19">
        <v>17</v>
      </c>
      <c r="B19" s="1">
        <v>18.790199999999999</v>
      </c>
      <c r="C19" s="12">
        <v>98.9863</v>
      </c>
    </row>
    <row r="20" spans="1:3" ht="15.75">
      <c r="A20">
        <v>18</v>
      </c>
      <c r="B20" s="1">
        <v>18.796099999999999</v>
      </c>
      <c r="C20" s="12">
        <v>98.970600000000005</v>
      </c>
    </row>
    <row r="21" spans="1:3" ht="15.75">
      <c r="A21">
        <v>19</v>
      </c>
      <c r="B21" s="1">
        <v>18.931000000000001</v>
      </c>
      <c r="C21" s="20">
        <v>98.891999999999996</v>
      </c>
    </row>
    <row r="22" spans="1:3" ht="15.75">
      <c r="A22">
        <v>20</v>
      </c>
      <c r="B22" s="1">
        <v>18.821400000000001</v>
      </c>
      <c r="C22" s="12">
        <v>98.974699999999999</v>
      </c>
    </row>
    <row r="23" spans="1:3" ht="15.75">
      <c r="A23">
        <v>21</v>
      </c>
      <c r="B23" s="1">
        <v>18.885300000000001</v>
      </c>
      <c r="C23" s="12">
        <v>99.000799999999998</v>
      </c>
    </row>
    <row r="24" spans="1:3" ht="15.75">
      <c r="A24">
        <v>22</v>
      </c>
      <c r="B24" s="1">
        <v>18.810600000000001</v>
      </c>
      <c r="C24" s="20">
        <v>98.947900000000004</v>
      </c>
    </row>
    <row r="25" spans="1:3" ht="15.75">
      <c r="A25">
        <v>23</v>
      </c>
      <c r="B25" s="1">
        <v>18.7422</v>
      </c>
      <c r="C25" s="12">
        <v>98.917199999999994</v>
      </c>
    </row>
    <row r="26" spans="1:3" ht="15.75">
      <c r="A26">
        <v>24</v>
      </c>
      <c r="B26" s="1">
        <v>18.924600000000002</v>
      </c>
      <c r="C26" s="12">
        <v>98.932000000000002</v>
      </c>
    </row>
    <row r="27" spans="1:3" ht="15.75">
      <c r="A27">
        <v>25</v>
      </c>
      <c r="B27" s="1">
        <v>18.933299999999999</v>
      </c>
      <c r="C27" s="20">
        <v>98.9</v>
      </c>
    </row>
    <row r="28" spans="1:3" ht="15.75">
      <c r="A28">
        <v>26</v>
      </c>
      <c r="B28" s="1">
        <v>18.778099999999998</v>
      </c>
      <c r="C28" s="12">
        <v>98.816299999999998</v>
      </c>
    </row>
    <row r="29" spans="1:3" ht="15.75">
      <c r="A29">
        <v>27</v>
      </c>
      <c r="B29" s="1">
        <v>18.5886</v>
      </c>
      <c r="C29" s="12">
        <v>98.486999999999995</v>
      </c>
    </row>
    <row r="30" spans="1:3" ht="15.75">
      <c r="A30">
        <v>28</v>
      </c>
      <c r="B30" s="1">
        <v>18.9114</v>
      </c>
      <c r="C30" s="20">
        <v>98.864599999999996</v>
      </c>
    </row>
    <row r="31" spans="1:3" ht="15.75">
      <c r="A31">
        <v>29</v>
      </c>
      <c r="B31" s="1">
        <v>18.825099999999999</v>
      </c>
      <c r="C31" s="12">
        <v>99.076499999999996</v>
      </c>
    </row>
    <row r="32" spans="1:3" ht="15.75">
      <c r="A32">
        <v>30</v>
      </c>
      <c r="B32" s="1">
        <v>18.933299999999999</v>
      </c>
      <c r="C32" s="12">
        <v>98.8</v>
      </c>
    </row>
    <row r="33" spans="1:3" ht="15.75">
      <c r="A33">
        <v>31</v>
      </c>
      <c r="B33" s="1">
        <v>18.7881</v>
      </c>
      <c r="C33" s="20">
        <v>99.000299999999996</v>
      </c>
    </row>
    <row r="34" spans="1:3" ht="15.75">
      <c r="A34">
        <v>32</v>
      </c>
      <c r="B34" s="1">
        <v>18.787500000000001</v>
      </c>
      <c r="C34" s="12">
        <v>98.993499999999997</v>
      </c>
    </row>
    <row r="35" spans="1:3" ht="15.75">
      <c r="A35">
        <v>33</v>
      </c>
      <c r="B35" s="1">
        <v>18.781500000000001</v>
      </c>
      <c r="C35" s="12">
        <v>98.987499999999997</v>
      </c>
    </row>
    <row r="36" spans="1:3" ht="15.75">
      <c r="A36">
        <v>34</v>
      </c>
      <c r="B36" s="1">
        <v>18.7819</v>
      </c>
      <c r="C36" s="20">
        <v>98.990700000000004</v>
      </c>
    </row>
    <row r="37" spans="1:3" ht="15.75">
      <c r="A37">
        <v>35</v>
      </c>
      <c r="B37" s="1">
        <v>18.7879</v>
      </c>
      <c r="C37" s="12">
        <v>99.000799999999998</v>
      </c>
    </row>
    <row r="38" spans="1:3" ht="15.75">
      <c r="A38">
        <v>36</v>
      </c>
      <c r="B38" s="1">
        <v>18.698499999999999</v>
      </c>
      <c r="C38" s="12">
        <v>98.893000000000001</v>
      </c>
    </row>
    <row r="39" spans="1:3" ht="15.75">
      <c r="A39">
        <v>37</v>
      </c>
      <c r="B39" s="1">
        <v>18.760999999999999</v>
      </c>
      <c r="C39" s="20">
        <v>99.116</v>
      </c>
    </row>
    <row r="40" spans="1:3" ht="15.75">
      <c r="A40">
        <v>38</v>
      </c>
      <c r="B40" s="1">
        <v>18.728999999999999</v>
      </c>
      <c r="C40" s="12">
        <v>99.147000000000006</v>
      </c>
    </row>
    <row r="41" spans="1:3" ht="15.75">
      <c r="A41">
        <v>39</v>
      </c>
      <c r="B41" s="1">
        <v>18.8004</v>
      </c>
      <c r="C41" s="12">
        <v>98.9679</v>
      </c>
    </row>
    <row r="42" spans="1:3" ht="15.75">
      <c r="A42">
        <v>40</v>
      </c>
      <c r="B42" s="1">
        <v>18.805</v>
      </c>
      <c r="C42" s="20">
        <v>98.99</v>
      </c>
    </row>
    <row r="43" spans="1:3" ht="15.75">
      <c r="A43">
        <v>41</v>
      </c>
      <c r="B43" s="1">
        <v>18.741599999999998</v>
      </c>
      <c r="C43" s="12">
        <v>98.924499999999995</v>
      </c>
    </row>
    <row r="44" spans="1:3" ht="15.75">
      <c r="A44">
        <v>42</v>
      </c>
      <c r="B44" s="1">
        <v>18.859000000000002</v>
      </c>
      <c r="C44" s="12">
        <v>98.938000000000002</v>
      </c>
    </row>
    <row r="45" spans="1:3" ht="15.75">
      <c r="A45">
        <v>43</v>
      </c>
      <c r="B45" s="1">
        <v>18.805800000000001</v>
      </c>
      <c r="C45" s="20">
        <v>98.921499999999995</v>
      </c>
    </row>
    <row r="46" spans="1:3" ht="15.75">
      <c r="A46">
        <v>44</v>
      </c>
      <c r="B46" s="1">
        <v>18.63</v>
      </c>
      <c r="C46" s="12">
        <v>98.822999999999993</v>
      </c>
    </row>
    <row r="47" spans="1:3" ht="15.75">
      <c r="A47">
        <v>45</v>
      </c>
      <c r="B47" s="1">
        <v>18.588899999999999</v>
      </c>
      <c r="C47" s="12">
        <v>98.480999999999995</v>
      </c>
    </row>
    <row r="48" spans="1:3" ht="15.75">
      <c r="A48">
        <v>46</v>
      </c>
      <c r="B48" s="1">
        <v>18.823499999999999</v>
      </c>
      <c r="C48" s="20">
        <v>98.921800000000005</v>
      </c>
    </row>
    <row r="49" spans="1:3" ht="15.75">
      <c r="A49">
        <v>47</v>
      </c>
      <c r="B49" s="1">
        <v>18.805</v>
      </c>
      <c r="C49" s="12">
        <v>98.944000000000003</v>
      </c>
    </row>
    <row r="50" spans="1:3" ht="15.75">
      <c r="A50">
        <v>48</v>
      </c>
      <c r="B50" s="1">
        <v>19.046900000000001</v>
      </c>
      <c r="C50" s="12">
        <v>99.007999999999996</v>
      </c>
    </row>
    <row r="51" spans="1:3" ht="15.75">
      <c r="A51">
        <v>49</v>
      </c>
      <c r="B51" s="1">
        <v>18.890999999999998</v>
      </c>
      <c r="C51" s="20">
        <v>98.891000000000005</v>
      </c>
    </row>
    <row r="52" spans="1:3" ht="15.75">
      <c r="A52">
        <v>50</v>
      </c>
      <c r="B52" s="14">
        <v>18.864999999999998</v>
      </c>
      <c r="C52" s="15">
        <v>99.343000000000004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3A07-D9DB-174F-A95E-57EB2553FDEB}">
  <dimension ref="A1:AZ52"/>
  <sheetViews>
    <sheetView workbookViewId="0">
      <selection activeCell="C2" sqref="C2"/>
    </sheetView>
  </sheetViews>
  <sheetFormatPr defaultColWidth="11.5546875" defaultRowHeight="15"/>
  <cols>
    <col min="2" max="52" width="13.6640625" bestFit="1" customWidth="1"/>
  </cols>
  <sheetData>
    <row r="1" spans="1:52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</row>
    <row r="2" spans="1:52">
      <c r="A2">
        <v>0</v>
      </c>
      <c r="B2" s="33">
        <v>9999</v>
      </c>
      <c r="C2" s="33">
        <v>12.384</v>
      </c>
      <c r="D2" s="33">
        <v>5.7089999999999996</v>
      </c>
      <c r="E2" s="33">
        <v>4.6109999999999998</v>
      </c>
      <c r="F2" s="33">
        <v>4.1390000000000002</v>
      </c>
      <c r="G2" s="33">
        <v>4.6989999999999998</v>
      </c>
      <c r="H2" s="33">
        <v>3.3540000000000001</v>
      </c>
      <c r="I2" s="33">
        <v>5.1630000000000003</v>
      </c>
      <c r="J2" s="33">
        <v>6.7610000000000001</v>
      </c>
      <c r="K2" s="33">
        <v>5.99</v>
      </c>
      <c r="L2" s="33">
        <v>8.4890000000000008</v>
      </c>
      <c r="M2" s="33">
        <v>5.3959999999999999</v>
      </c>
      <c r="N2" s="33">
        <v>5.0149999999999997</v>
      </c>
      <c r="O2" s="33">
        <v>3.1890000000000001</v>
      </c>
      <c r="P2" s="33">
        <v>4.1479999999999997</v>
      </c>
      <c r="Q2" s="33">
        <v>17.853000000000002</v>
      </c>
      <c r="R2" s="33">
        <v>6.7720000000000002</v>
      </c>
      <c r="S2" s="33">
        <v>5.1260000000000003</v>
      </c>
      <c r="T2" s="33">
        <v>2.431</v>
      </c>
      <c r="U2" s="33">
        <v>21.783999999999999</v>
      </c>
      <c r="V2" s="33">
        <v>4.1479999999999997</v>
      </c>
      <c r="W2" s="33">
        <v>16.8</v>
      </c>
      <c r="X2" s="33">
        <v>1.673</v>
      </c>
      <c r="Y2" s="33">
        <v>11.654</v>
      </c>
      <c r="Z2" s="33">
        <v>16.457999999999998</v>
      </c>
      <c r="AA2" s="33">
        <v>22.837</v>
      </c>
      <c r="AB2" s="33">
        <v>29.995999999999999</v>
      </c>
      <c r="AC2" s="33">
        <v>108.637</v>
      </c>
      <c r="AD2" s="33">
        <v>27.547000000000001</v>
      </c>
      <c r="AE2" s="33">
        <v>18.023</v>
      </c>
      <c r="AF2" s="33">
        <v>39.631999999999998</v>
      </c>
      <c r="AG2" s="33">
        <v>6.2560000000000002</v>
      </c>
      <c r="AH2" s="33">
        <v>5.42</v>
      </c>
      <c r="AI2" s="33">
        <v>6.0949999999999998</v>
      </c>
      <c r="AJ2" s="33">
        <v>6.6040000000000001</v>
      </c>
      <c r="AK2" s="33">
        <v>6.2050000000000001</v>
      </c>
      <c r="AL2" s="33">
        <v>17.635999999999999</v>
      </c>
      <c r="AM2" s="33">
        <v>20.937999999999999</v>
      </c>
      <c r="AN2" s="33">
        <v>24.774000000000001</v>
      </c>
      <c r="AO2" s="33">
        <v>1.7649999999999999</v>
      </c>
      <c r="AP2" s="33">
        <v>5.07</v>
      </c>
      <c r="AQ2" s="33">
        <v>11.032999999999999</v>
      </c>
      <c r="AR2" s="33">
        <v>10.031000000000001</v>
      </c>
      <c r="AS2" s="33">
        <v>12.51</v>
      </c>
      <c r="AT2" s="33">
        <v>31.446000000000002</v>
      </c>
      <c r="AU2" s="33">
        <v>109.226</v>
      </c>
      <c r="AV2" s="33">
        <v>6.9770000000000003</v>
      </c>
      <c r="AW2" s="33">
        <v>2.3929999999999998</v>
      </c>
      <c r="AX2" s="33">
        <v>39.08</v>
      </c>
      <c r="AY2" s="33">
        <v>25.18</v>
      </c>
      <c r="AZ2" s="33">
        <v>52.207999999999998</v>
      </c>
    </row>
    <row r="3" spans="1:52">
      <c r="A3">
        <v>1</v>
      </c>
      <c r="B3" s="33">
        <v>12.986000000000001</v>
      </c>
      <c r="C3" s="33">
        <v>9999</v>
      </c>
      <c r="D3" s="33">
        <v>16.809999999999999</v>
      </c>
      <c r="E3" s="33">
        <v>16.266999999999999</v>
      </c>
      <c r="F3" s="33">
        <v>15.795</v>
      </c>
      <c r="G3" s="33">
        <v>16.355</v>
      </c>
      <c r="H3" s="33">
        <v>15.01</v>
      </c>
      <c r="I3" s="33">
        <v>16.818999999999999</v>
      </c>
      <c r="J3" s="33">
        <v>18.417000000000002</v>
      </c>
      <c r="K3" s="33">
        <v>17.646000000000001</v>
      </c>
      <c r="L3" s="33">
        <v>20.145</v>
      </c>
      <c r="M3" s="33">
        <v>17.052</v>
      </c>
      <c r="N3" s="33">
        <v>16.789000000000001</v>
      </c>
      <c r="O3" s="33">
        <v>14.845000000000001</v>
      </c>
      <c r="P3" s="33">
        <v>15.804</v>
      </c>
      <c r="Q3" s="33">
        <v>29.509</v>
      </c>
      <c r="R3" s="33">
        <v>18.428000000000001</v>
      </c>
      <c r="S3" s="33">
        <v>16.782</v>
      </c>
      <c r="T3" s="33">
        <v>14.087</v>
      </c>
      <c r="U3" s="33">
        <v>33.44</v>
      </c>
      <c r="V3" s="33">
        <v>15.804</v>
      </c>
      <c r="W3" s="33">
        <v>28.456</v>
      </c>
      <c r="X3" s="33">
        <v>11.196</v>
      </c>
      <c r="Y3" s="33">
        <v>23.31</v>
      </c>
      <c r="Z3" s="33">
        <v>28.114000000000001</v>
      </c>
      <c r="AA3" s="33">
        <v>32.902000000000001</v>
      </c>
      <c r="AB3" s="33">
        <v>41.652000000000001</v>
      </c>
      <c r="AC3" s="33">
        <v>120.29300000000001</v>
      </c>
      <c r="AD3" s="33">
        <v>39.203000000000003</v>
      </c>
      <c r="AE3" s="33">
        <v>29.678999999999998</v>
      </c>
      <c r="AF3" s="33">
        <v>51.287999999999997</v>
      </c>
      <c r="AG3" s="33">
        <v>17.911999999999999</v>
      </c>
      <c r="AH3" s="33">
        <v>17.076000000000001</v>
      </c>
      <c r="AI3" s="33">
        <v>17.751000000000001</v>
      </c>
      <c r="AJ3" s="33">
        <v>18.260000000000002</v>
      </c>
      <c r="AK3" s="33">
        <v>20.524000000000001</v>
      </c>
      <c r="AL3" s="33">
        <v>29.292000000000002</v>
      </c>
      <c r="AM3" s="33">
        <v>32.594000000000001</v>
      </c>
      <c r="AN3" s="33">
        <v>36.43</v>
      </c>
      <c r="AO3" s="33">
        <v>13.420999999999999</v>
      </c>
      <c r="AP3" s="33">
        <v>16.725999999999999</v>
      </c>
      <c r="AQ3" s="33">
        <v>22.689</v>
      </c>
      <c r="AR3" s="33">
        <v>21.687000000000001</v>
      </c>
      <c r="AS3" s="33">
        <v>0.51100000000000001</v>
      </c>
      <c r="AT3" s="33">
        <v>43.101999999999997</v>
      </c>
      <c r="AU3" s="33">
        <v>120.88200000000001</v>
      </c>
      <c r="AV3" s="33">
        <v>9.702</v>
      </c>
      <c r="AW3" s="33">
        <v>11.916</v>
      </c>
      <c r="AX3" s="33">
        <v>50.180999999999997</v>
      </c>
      <c r="AY3" s="33">
        <v>36.835999999999999</v>
      </c>
      <c r="AZ3" s="33">
        <v>63.863999999999997</v>
      </c>
    </row>
    <row r="4" spans="1:52">
      <c r="A4">
        <v>2</v>
      </c>
      <c r="B4" s="33">
        <v>4.3209999999999997</v>
      </c>
      <c r="C4" s="33">
        <v>16.632999999999999</v>
      </c>
      <c r="D4" s="33">
        <v>9999</v>
      </c>
      <c r="E4" s="33">
        <v>0.66500000000000004</v>
      </c>
      <c r="F4" s="33">
        <v>5.2670000000000003</v>
      </c>
      <c r="G4" s="33">
        <v>1.121</v>
      </c>
      <c r="H4" s="33">
        <v>2.8809999999999998</v>
      </c>
      <c r="I4" s="33">
        <v>1.2170000000000001</v>
      </c>
      <c r="J4" s="33">
        <v>2.1829999999999998</v>
      </c>
      <c r="K4" s="33">
        <v>2.4769999999999999</v>
      </c>
      <c r="L4" s="33">
        <v>3.2349999999999999</v>
      </c>
      <c r="M4" s="33">
        <v>0.66800000000000004</v>
      </c>
      <c r="N4" s="33">
        <v>0.63200000000000001</v>
      </c>
      <c r="O4" s="33">
        <v>4.91</v>
      </c>
      <c r="P4" s="33">
        <v>5.6390000000000002</v>
      </c>
      <c r="Q4" s="33">
        <v>13.156000000000001</v>
      </c>
      <c r="R4" s="33">
        <v>2.5779999999999998</v>
      </c>
      <c r="S4" s="33">
        <v>0.69899999999999995</v>
      </c>
      <c r="T4" s="33">
        <v>3.2679999999999998</v>
      </c>
      <c r="U4" s="33">
        <v>23.056000000000001</v>
      </c>
      <c r="V4" s="33">
        <v>5.6390000000000002</v>
      </c>
      <c r="W4" s="33">
        <v>16.427</v>
      </c>
      <c r="X4" s="33">
        <v>5.9219999999999997</v>
      </c>
      <c r="Y4" s="33">
        <v>13.327999999999999</v>
      </c>
      <c r="Z4" s="33">
        <v>17.73</v>
      </c>
      <c r="AA4" s="33">
        <v>22.518000000000001</v>
      </c>
      <c r="AB4" s="33">
        <v>30.004000000000001</v>
      </c>
      <c r="AC4" s="33">
        <v>102.98399999999999</v>
      </c>
      <c r="AD4" s="33">
        <v>28.818999999999999</v>
      </c>
      <c r="AE4" s="33">
        <v>15.236000000000001</v>
      </c>
      <c r="AF4" s="33">
        <v>40.904000000000003</v>
      </c>
      <c r="AG4" s="33">
        <v>3.0950000000000002</v>
      </c>
      <c r="AH4" s="33">
        <v>1.415</v>
      </c>
      <c r="AI4" s="33">
        <v>1.2130000000000001</v>
      </c>
      <c r="AJ4" s="33">
        <v>1.157</v>
      </c>
      <c r="AK4" s="33">
        <v>3.044</v>
      </c>
      <c r="AL4" s="33">
        <v>17.61</v>
      </c>
      <c r="AM4" s="33">
        <v>16.241</v>
      </c>
      <c r="AN4" s="33">
        <v>25.489000000000001</v>
      </c>
      <c r="AO4" s="33">
        <v>3.3170000000000002</v>
      </c>
      <c r="AP4" s="33">
        <v>3.1440000000000001</v>
      </c>
      <c r="AQ4" s="33">
        <v>12.707000000000001</v>
      </c>
      <c r="AR4" s="33">
        <v>13.065</v>
      </c>
      <c r="AS4" s="33">
        <v>16.759</v>
      </c>
      <c r="AT4" s="33">
        <v>31.42</v>
      </c>
      <c r="AU4" s="33">
        <v>110.354</v>
      </c>
      <c r="AV4" s="33">
        <v>11.226000000000001</v>
      </c>
      <c r="AW4" s="33">
        <v>6.6420000000000003</v>
      </c>
      <c r="AX4" s="33">
        <v>39.796999999999997</v>
      </c>
      <c r="AY4" s="33">
        <v>26.452000000000002</v>
      </c>
      <c r="AZ4" s="33">
        <v>49.420999999999999</v>
      </c>
    </row>
    <row r="5" spans="1:52">
      <c r="A5">
        <v>3</v>
      </c>
      <c r="B5" s="33">
        <v>3.762</v>
      </c>
      <c r="C5" s="33">
        <v>16.074000000000002</v>
      </c>
      <c r="D5" s="33">
        <v>0.64900000000000002</v>
      </c>
      <c r="E5" s="33">
        <v>9999</v>
      </c>
      <c r="F5" s="33">
        <v>4.8689999999999998</v>
      </c>
      <c r="G5" s="33">
        <v>1.4970000000000001</v>
      </c>
      <c r="H5" s="33">
        <v>2.4830000000000001</v>
      </c>
      <c r="I5" s="33">
        <v>0.65800000000000003</v>
      </c>
      <c r="J5" s="33">
        <v>2.105</v>
      </c>
      <c r="K5" s="33">
        <v>2.86</v>
      </c>
      <c r="L5" s="33">
        <v>3.6909999999999998</v>
      </c>
      <c r="M5" s="33">
        <v>1.0509999999999999</v>
      </c>
      <c r="N5" s="33">
        <v>1.0149999999999999</v>
      </c>
      <c r="O5" s="33">
        <v>4.351</v>
      </c>
      <c r="P5" s="33">
        <v>5.7880000000000003</v>
      </c>
      <c r="Q5" s="33">
        <v>17.783000000000001</v>
      </c>
      <c r="R5" s="33">
        <v>2.9609999999999999</v>
      </c>
      <c r="S5" s="33">
        <v>0.83699999999999997</v>
      </c>
      <c r="T5" s="33">
        <v>2.7090000000000001</v>
      </c>
      <c r="U5" s="33">
        <v>23.204999999999998</v>
      </c>
      <c r="V5" s="33">
        <v>5.7880000000000003</v>
      </c>
      <c r="W5" s="33">
        <v>17.962</v>
      </c>
      <c r="X5" s="33">
        <v>5.3630000000000004</v>
      </c>
      <c r="Y5" s="33">
        <v>12.769</v>
      </c>
      <c r="Z5" s="33">
        <v>17.879000000000001</v>
      </c>
      <c r="AA5" s="33">
        <v>22.667000000000002</v>
      </c>
      <c r="AB5" s="33">
        <v>29.445</v>
      </c>
      <c r="AC5" s="33">
        <v>102.425</v>
      </c>
      <c r="AD5" s="33">
        <v>28.968</v>
      </c>
      <c r="AE5" s="33">
        <v>15.619</v>
      </c>
      <c r="AF5" s="33">
        <v>41.052999999999997</v>
      </c>
      <c r="AG5" s="33">
        <v>3.4780000000000002</v>
      </c>
      <c r="AH5" s="33">
        <v>1.798</v>
      </c>
      <c r="AI5" s="33">
        <v>1.4390000000000001</v>
      </c>
      <c r="AJ5" s="33">
        <v>1.54</v>
      </c>
      <c r="AK5" s="33">
        <v>3.427</v>
      </c>
      <c r="AL5" s="33">
        <v>17.050999999999998</v>
      </c>
      <c r="AM5" s="33">
        <v>20.867999999999999</v>
      </c>
      <c r="AN5" s="33">
        <v>24.93</v>
      </c>
      <c r="AO5" s="33">
        <v>2.758</v>
      </c>
      <c r="AP5" s="33">
        <v>3.2930000000000001</v>
      </c>
      <c r="AQ5" s="33">
        <v>12.148</v>
      </c>
      <c r="AR5" s="33">
        <v>13.044</v>
      </c>
      <c r="AS5" s="33">
        <v>16.2</v>
      </c>
      <c r="AT5" s="33">
        <v>30.861000000000001</v>
      </c>
      <c r="AU5" s="33">
        <v>103.014</v>
      </c>
      <c r="AV5" s="33">
        <v>10.667</v>
      </c>
      <c r="AW5" s="33">
        <v>6.0830000000000002</v>
      </c>
      <c r="AX5" s="33">
        <v>39.945999999999998</v>
      </c>
      <c r="AY5" s="33">
        <v>26.600999999999999</v>
      </c>
      <c r="AZ5" s="33">
        <v>49.804000000000002</v>
      </c>
    </row>
    <row r="6" spans="1:52">
      <c r="A6">
        <v>4</v>
      </c>
      <c r="B6" s="33">
        <v>3.5369999999999999</v>
      </c>
      <c r="C6" s="33">
        <v>15.849</v>
      </c>
      <c r="D6" s="33">
        <v>5.2619999999999996</v>
      </c>
      <c r="E6" s="33">
        <v>4.7190000000000003</v>
      </c>
      <c r="F6" s="33">
        <v>9999</v>
      </c>
      <c r="G6" s="33">
        <v>6.2140000000000004</v>
      </c>
      <c r="H6" s="33">
        <v>2.7469999999999999</v>
      </c>
      <c r="I6" s="33">
        <v>5.27</v>
      </c>
      <c r="J6" s="33">
        <v>6.6520000000000001</v>
      </c>
      <c r="K6" s="33">
        <v>7.5049999999999999</v>
      </c>
      <c r="L6" s="33">
        <v>7.4749999999999996</v>
      </c>
      <c r="M6" s="33">
        <v>5.6639999999999997</v>
      </c>
      <c r="N6" s="33">
        <v>5.3310000000000004</v>
      </c>
      <c r="O6" s="33">
        <v>5.9770000000000003</v>
      </c>
      <c r="P6" s="33">
        <v>6.9359999999999999</v>
      </c>
      <c r="Q6" s="33">
        <v>20.640999999999998</v>
      </c>
      <c r="R6" s="33">
        <v>8.0500000000000007</v>
      </c>
      <c r="S6" s="33">
        <v>5.234</v>
      </c>
      <c r="T6" s="33">
        <v>3.5990000000000002</v>
      </c>
      <c r="U6" s="33">
        <v>24.571999999999999</v>
      </c>
      <c r="V6" s="33">
        <v>6.9359999999999999</v>
      </c>
      <c r="W6" s="33">
        <v>19.588000000000001</v>
      </c>
      <c r="X6" s="33">
        <v>4.7430000000000003</v>
      </c>
      <c r="Y6" s="33">
        <v>9.298</v>
      </c>
      <c r="Z6" s="33">
        <v>19.245999999999999</v>
      </c>
      <c r="AA6" s="33">
        <v>24.033999999999999</v>
      </c>
      <c r="AB6" s="33">
        <v>27.64</v>
      </c>
      <c r="AC6" s="33">
        <v>106.28100000000001</v>
      </c>
      <c r="AD6" s="33">
        <v>30.335000000000001</v>
      </c>
      <c r="AE6" s="33">
        <v>20.811</v>
      </c>
      <c r="AF6" s="33">
        <v>42.42</v>
      </c>
      <c r="AG6" s="33">
        <v>7.7709999999999999</v>
      </c>
      <c r="AH6" s="33">
        <v>6.9349999999999996</v>
      </c>
      <c r="AI6" s="33">
        <v>5.9859999999999998</v>
      </c>
      <c r="AJ6" s="33">
        <v>6.4950000000000001</v>
      </c>
      <c r="AK6" s="33">
        <v>7.72</v>
      </c>
      <c r="AL6" s="33">
        <v>15.28</v>
      </c>
      <c r="AM6" s="33">
        <v>23.725999999999999</v>
      </c>
      <c r="AN6" s="33">
        <v>32.194000000000003</v>
      </c>
      <c r="AO6" s="33">
        <v>3.39</v>
      </c>
      <c r="AP6" s="33">
        <v>7.8579999999999997</v>
      </c>
      <c r="AQ6" s="33">
        <v>8.6769999999999996</v>
      </c>
      <c r="AR6" s="33">
        <v>12.819000000000001</v>
      </c>
      <c r="AS6" s="33">
        <v>15.975</v>
      </c>
      <c r="AT6" s="33">
        <v>29.09</v>
      </c>
      <c r="AU6" s="33">
        <v>106.87</v>
      </c>
      <c r="AV6" s="33">
        <v>10.442</v>
      </c>
      <c r="AW6" s="33">
        <v>3.5609999999999999</v>
      </c>
      <c r="AX6" s="33">
        <v>41.313000000000002</v>
      </c>
      <c r="AY6" s="33">
        <v>27.968</v>
      </c>
      <c r="AZ6" s="33">
        <v>54.996000000000002</v>
      </c>
    </row>
    <row r="7" spans="1:52">
      <c r="A7">
        <v>5</v>
      </c>
      <c r="B7" s="33">
        <v>4.298</v>
      </c>
      <c r="C7" s="33">
        <v>16.61</v>
      </c>
      <c r="D7" s="33">
        <v>1.121</v>
      </c>
      <c r="E7" s="33">
        <v>1.9079999999999999</v>
      </c>
      <c r="F7" s="33">
        <v>6.359</v>
      </c>
      <c r="G7" s="33">
        <v>9999</v>
      </c>
      <c r="H7" s="33">
        <v>3.9729999999999999</v>
      </c>
      <c r="I7" s="33">
        <v>2.46</v>
      </c>
      <c r="J7" s="33">
        <v>2.4369999999999998</v>
      </c>
      <c r="K7" s="33">
        <v>2.0979999999999999</v>
      </c>
      <c r="L7" s="33">
        <v>2.2269999999999999</v>
      </c>
      <c r="M7" s="33">
        <v>0.61199999999999999</v>
      </c>
      <c r="N7" s="33">
        <v>0.56100000000000005</v>
      </c>
      <c r="O7" s="33">
        <v>4.8869999999999996</v>
      </c>
      <c r="P7" s="33">
        <v>5.1340000000000003</v>
      </c>
      <c r="Q7" s="33">
        <v>16.975000000000001</v>
      </c>
      <c r="R7" s="33">
        <v>2.6909999999999998</v>
      </c>
      <c r="S7" s="33">
        <v>0.79</v>
      </c>
      <c r="T7" s="33">
        <v>3.2450000000000001</v>
      </c>
      <c r="U7" s="33">
        <v>22.550999999999998</v>
      </c>
      <c r="V7" s="33">
        <v>5.1340000000000003</v>
      </c>
      <c r="W7" s="33">
        <v>15.922000000000001</v>
      </c>
      <c r="X7" s="33">
        <v>5.899</v>
      </c>
      <c r="Y7" s="33">
        <v>13.874000000000001</v>
      </c>
      <c r="Z7" s="33">
        <v>17.225000000000001</v>
      </c>
      <c r="AA7" s="33">
        <v>22.013000000000002</v>
      </c>
      <c r="AB7" s="33">
        <v>31.648</v>
      </c>
      <c r="AC7" s="33">
        <v>104.628</v>
      </c>
      <c r="AD7" s="33">
        <v>28.314</v>
      </c>
      <c r="AE7" s="33">
        <v>14.228</v>
      </c>
      <c r="AF7" s="33">
        <v>40.399000000000001</v>
      </c>
      <c r="AG7" s="33">
        <v>2.7160000000000002</v>
      </c>
      <c r="AH7" s="33">
        <v>1.528</v>
      </c>
      <c r="AI7" s="33">
        <v>1.86</v>
      </c>
      <c r="AJ7" s="33">
        <v>1.411</v>
      </c>
      <c r="AK7" s="33">
        <v>2.5449999999999999</v>
      </c>
      <c r="AL7" s="33">
        <v>19.254000000000001</v>
      </c>
      <c r="AM7" s="33">
        <v>20.059999999999999</v>
      </c>
      <c r="AN7" s="33">
        <v>23.896000000000001</v>
      </c>
      <c r="AO7" s="33">
        <v>3.294</v>
      </c>
      <c r="AP7" s="33">
        <v>2.6389999999999998</v>
      </c>
      <c r="AQ7" s="33">
        <v>13.253</v>
      </c>
      <c r="AR7" s="33">
        <v>12.56</v>
      </c>
      <c r="AS7" s="33">
        <v>16.736000000000001</v>
      </c>
      <c r="AT7" s="33">
        <v>33.064</v>
      </c>
      <c r="AU7" s="33">
        <v>105.217</v>
      </c>
      <c r="AV7" s="33">
        <v>11.202999999999999</v>
      </c>
      <c r="AW7" s="33">
        <v>6.6189999999999998</v>
      </c>
      <c r="AX7" s="33">
        <v>39.292000000000002</v>
      </c>
      <c r="AY7" s="33">
        <v>25.946999999999999</v>
      </c>
      <c r="AZ7" s="33">
        <v>48.412999999999997</v>
      </c>
    </row>
    <row r="8" spans="1:52">
      <c r="A8">
        <v>6</v>
      </c>
      <c r="B8" s="33">
        <v>2.7429999999999999</v>
      </c>
      <c r="C8" s="33">
        <v>15.055</v>
      </c>
      <c r="D8" s="33">
        <v>2.798</v>
      </c>
      <c r="E8" s="33">
        <v>2.2549999999999999</v>
      </c>
      <c r="F8" s="33">
        <v>2.669</v>
      </c>
      <c r="G8" s="33">
        <v>3.75</v>
      </c>
      <c r="H8" s="33">
        <v>9999</v>
      </c>
      <c r="I8" s="33">
        <v>2.806</v>
      </c>
      <c r="J8" s="33">
        <v>4.1879999999999997</v>
      </c>
      <c r="K8" s="33">
        <v>5.0410000000000004</v>
      </c>
      <c r="L8" s="33">
        <v>5.0110000000000001</v>
      </c>
      <c r="M8" s="33">
        <v>3.2</v>
      </c>
      <c r="N8" s="33">
        <v>2.867</v>
      </c>
      <c r="O8" s="33">
        <v>3.536</v>
      </c>
      <c r="P8" s="33">
        <v>6.1420000000000003</v>
      </c>
      <c r="Q8" s="33">
        <v>18.2</v>
      </c>
      <c r="R8" s="33">
        <v>5.5860000000000003</v>
      </c>
      <c r="S8" s="33">
        <v>2.77</v>
      </c>
      <c r="T8" s="33">
        <v>1.135</v>
      </c>
      <c r="U8" s="33">
        <v>23.777999999999999</v>
      </c>
      <c r="V8" s="33">
        <v>6.1420000000000003</v>
      </c>
      <c r="W8" s="33">
        <v>17.146999999999998</v>
      </c>
      <c r="X8" s="33">
        <v>4.3440000000000003</v>
      </c>
      <c r="Y8" s="33">
        <v>10.183999999999999</v>
      </c>
      <c r="Z8" s="33">
        <v>18.452000000000002</v>
      </c>
      <c r="AA8" s="33">
        <v>23.24</v>
      </c>
      <c r="AB8" s="33">
        <v>28.526</v>
      </c>
      <c r="AC8" s="33">
        <v>107.167</v>
      </c>
      <c r="AD8" s="33">
        <v>29.541</v>
      </c>
      <c r="AE8" s="33">
        <v>18.37</v>
      </c>
      <c r="AF8" s="33">
        <v>41.625999999999998</v>
      </c>
      <c r="AG8" s="33">
        <v>5.3070000000000004</v>
      </c>
      <c r="AH8" s="33">
        <v>4.4710000000000001</v>
      </c>
      <c r="AI8" s="33">
        <v>3.5219999999999998</v>
      </c>
      <c r="AJ8" s="33">
        <v>4.0309999999999997</v>
      </c>
      <c r="AK8" s="33">
        <v>5.2560000000000002</v>
      </c>
      <c r="AL8" s="33">
        <v>16.166</v>
      </c>
      <c r="AM8" s="33">
        <v>21.285</v>
      </c>
      <c r="AN8" s="33">
        <v>25.120999999999999</v>
      </c>
      <c r="AO8" s="33">
        <v>1.9430000000000001</v>
      </c>
      <c r="AP8" s="33">
        <v>4.3440000000000003</v>
      </c>
      <c r="AQ8" s="33">
        <v>9.5630000000000006</v>
      </c>
      <c r="AR8" s="33">
        <v>12.025</v>
      </c>
      <c r="AS8" s="33">
        <v>15.180999999999999</v>
      </c>
      <c r="AT8" s="33">
        <v>29.975999999999999</v>
      </c>
      <c r="AU8" s="33">
        <v>107.756</v>
      </c>
      <c r="AV8" s="33">
        <v>9.6479999999999997</v>
      </c>
      <c r="AW8" s="33">
        <v>5.0640000000000001</v>
      </c>
      <c r="AX8" s="33">
        <v>40.518999999999998</v>
      </c>
      <c r="AY8" s="33">
        <v>28.204999999999998</v>
      </c>
      <c r="AZ8" s="33">
        <v>52.555</v>
      </c>
    </row>
    <row r="9" spans="1:52">
      <c r="A9">
        <v>7</v>
      </c>
      <c r="B9" s="33">
        <v>4.0289999999999999</v>
      </c>
      <c r="C9" s="33">
        <v>16.341000000000001</v>
      </c>
      <c r="D9" s="33">
        <v>0.91600000000000004</v>
      </c>
      <c r="E9" s="33">
        <v>0.373</v>
      </c>
      <c r="F9" s="33">
        <v>4.7690000000000001</v>
      </c>
      <c r="G9" s="33">
        <v>1.764</v>
      </c>
      <c r="H9" s="33">
        <v>2.383</v>
      </c>
      <c r="I9" s="33">
        <v>9999</v>
      </c>
      <c r="J9" s="33">
        <v>1.8460000000000001</v>
      </c>
      <c r="K9" s="33">
        <v>3.1269999999999998</v>
      </c>
      <c r="L9" s="33">
        <v>3.8849999999999998</v>
      </c>
      <c r="M9" s="33">
        <v>1.3180000000000001</v>
      </c>
      <c r="N9" s="33">
        <v>1.282</v>
      </c>
      <c r="O9" s="33">
        <v>4.6180000000000003</v>
      </c>
      <c r="P9" s="33">
        <v>6.0549999999999997</v>
      </c>
      <c r="Q9" s="33">
        <v>17.524000000000001</v>
      </c>
      <c r="R9" s="33">
        <v>3.2440000000000002</v>
      </c>
      <c r="S9" s="33">
        <v>1.1000000000000001</v>
      </c>
      <c r="T9" s="33">
        <v>2.7970000000000002</v>
      </c>
      <c r="U9" s="33">
        <v>23.472000000000001</v>
      </c>
      <c r="V9" s="33">
        <v>6.0549999999999997</v>
      </c>
      <c r="W9" s="33">
        <v>18.228999999999999</v>
      </c>
      <c r="X9" s="33">
        <v>5.63</v>
      </c>
      <c r="Y9" s="33">
        <v>12.51</v>
      </c>
      <c r="Z9" s="33">
        <v>18.146000000000001</v>
      </c>
      <c r="AA9" s="33">
        <v>22.934000000000001</v>
      </c>
      <c r="AB9" s="33">
        <v>29.186</v>
      </c>
      <c r="AC9" s="33">
        <v>102.166</v>
      </c>
      <c r="AD9" s="33">
        <v>29.234999999999999</v>
      </c>
      <c r="AE9" s="33">
        <v>15.885999999999999</v>
      </c>
      <c r="AF9" s="33">
        <v>41.32</v>
      </c>
      <c r="AG9" s="33">
        <v>4.0510000000000002</v>
      </c>
      <c r="AH9" s="33">
        <v>2.0649999999999999</v>
      </c>
      <c r="AI9" s="33">
        <v>1.18</v>
      </c>
      <c r="AJ9" s="33">
        <v>1.6890000000000001</v>
      </c>
      <c r="AK9" s="33">
        <v>4</v>
      </c>
      <c r="AL9" s="33">
        <v>16.792000000000002</v>
      </c>
      <c r="AM9" s="33">
        <v>20.609000000000002</v>
      </c>
      <c r="AN9" s="33">
        <v>24.670999999999999</v>
      </c>
      <c r="AO9" s="33">
        <v>3.0249999999999999</v>
      </c>
      <c r="AP9" s="33">
        <v>3.56</v>
      </c>
      <c r="AQ9" s="33">
        <v>11.356</v>
      </c>
      <c r="AR9" s="33">
        <v>13.311</v>
      </c>
      <c r="AS9" s="33">
        <v>16.466999999999999</v>
      </c>
      <c r="AT9" s="33">
        <v>30.602</v>
      </c>
      <c r="AU9" s="33">
        <v>102.755</v>
      </c>
      <c r="AV9" s="33">
        <v>10.933999999999999</v>
      </c>
      <c r="AW9" s="33">
        <v>6.35</v>
      </c>
      <c r="AX9" s="33">
        <v>40.213000000000001</v>
      </c>
      <c r="AY9" s="33">
        <v>26.867999999999999</v>
      </c>
      <c r="AZ9" s="33">
        <v>50.070999999999998</v>
      </c>
    </row>
    <row r="10" spans="1:52">
      <c r="A10">
        <v>8</v>
      </c>
      <c r="B10" s="33">
        <v>4.78</v>
      </c>
      <c r="C10" s="33">
        <v>17.091999999999999</v>
      </c>
      <c r="D10" s="33">
        <v>2.2850000000000001</v>
      </c>
      <c r="E10" s="33">
        <v>1.544</v>
      </c>
      <c r="F10" s="33">
        <v>5.2530000000000001</v>
      </c>
      <c r="G10" s="33">
        <v>2.9319999999999999</v>
      </c>
      <c r="H10" s="33">
        <v>2.867</v>
      </c>
      <c r="I10" s="33">
        <v>1.472</v>
      </c>
      <c r="J10" s="33">
        <v>9999</v>
      </c>
      <c r="K10" s="33">
        <v>3.4289999999999998</v>
      </c>
      <c r="L10" s="33">
        <v>4.6520000000000001</v>
      </c>
      <c r="M10" s="33">
        <v>2.4790000000000001</v>
      </c>
      <c r="N10" s="33">
        <v>2.4430000000000001</v>
      </c>
      <c r="O10" s="33">
        <v>5.3689999999999998</v>
      </c>
      <c r="P10" s="33">
        <v>7.4340000000000002</v>
      </c>
      <c r="Q10" s="33">
        <v>16.152999999999999</v>
      </c>
      <c r="R10" s="33">
        <v>3.194</v>
      </c>
      <c r="S10" s="33">
        <v>2.5099999999999998</v>
      </c>
      <c r="T10" s="33">
        <v>3.2810000000000001</v>
      </c>
      <c r="U10" s="33">
        <v>24.850999999999999</v>
      </c>
      <c r="V10" s="33">
        <v>7.4340000000000002</v>
      </c>
      <c r="W10" s="33">
        <v>18.98</v>
      </c>
      <c r="X10" s="33">
        <v>6.3810000000000002</v>
      </c>
      <c r="Y10" s="33">
        <v>11.193</v>
      </c>
      <c r="Z10" s="33">
        <v>19.524999999999999</v>
      </c>
      <c r="AA10" s="33">
        <v>24.312999999999999</v>
      </c>
      <c r="AB10" s="33">
        <v>27.869</v>
      </c>
      <c r="AC10" s="33">
        <v>100.849</v>
      </c>
      <c r="AD10" s="33">
        <v>30.614000000000001</v>
      </c>
      <c r="AE10" s="33">
        <v>20.100999999999999</v>
      </c>
      <c r="AF10" s="33">
        <v>42.698999999999998</v>
      </c>
      <c r="AG10" s="33">
        <v>4.0010000000000003</v>
      </c>
      <c r="AH10" s="33">
        <v>3.016</v>
      </c>
      <c r="AI10" s="33">
        <v>1.1299999999999999</v>
      </c>
      <c r="AJ10" s="33">
        <v>1.639</v>
      </c>
      <c r="AK10" s="33">
        <v>3.95</v>
      </c>
      <c r="AL10" s="33">
        <v>15.475</v>
      </c>
      <c r="AM10" s="33">
        <v>19.238</v>
      </c>
      <c r="AN10" s="33">
        <v>23.3</v>
      </c>
      <c r="AO10" s="33">
        <v>3.7759999999999998</v>
      </c>
      <c r="AP10" s="33">
        <v>4.9390000000000001</v>
      </c>
      <c r="AQ10" s="33">
        <v>10.571999999999999</v>
      </c>
      <c r="AR10" s="33">
        <v>14.061999999999999</v>
      </c>
      <c r="AS10" s="33">
        <v>17.218</v>
      </c>
      <c r="AT10" s="33">
        <v>29.285</v>
      </c>
      <c r="AU10" s="33">
        <v>101.438</v>
      </c>
      <c r="AV10" s="33">
        <v>11.685</v>
      </c>
      <c r="AW10" s="33">
        <v>7.101</v>
      </c>
      <c r="AX10" s="33">
        <v>41.591999999999999</v>
      </c>
      <c r="AY10" s="33">
        <v>28.247</v>
      </c>
      <c r="AZ10" s="33">
        <v>54.387999999999998</v>
      </c>
    </row>
    <row r="11" spans="1:52">
      <c r="A11">
        <v>9</v>
      </c>
      <c r="B11" s="33">
        <v>6.7649999999999997</v>
      </c>
      <c r="C11" s="33">
        <v>19.077000000000002</v>
      </c>
      <c r="D11" s="33">
        <v>1.9279999999999999</v>
      </c>
      <c r="E11" s="33">
        <v>2.327</v>
      </c>
      <c r="F11" s="33">
        <v>7.2380000000000004</v>
      </c>
      <c r="G11" s="33">
        <v>2.4940000000000002</v>
      </c>
      <c r="H11" s="33">
        <v>4.8520000000000003</v>
      </c>
      <c r="I11" s="33">
        <v>2.879</v>
      </c>
      <c r="J11" s="33">
        <v>2.3759999999999999</v>
      </c>
      <c r="K11" s="33">
        <v>9999</v>
      </c>
      <c r="L11" s="33">
        <v>2.569</v>
      </c>
      <c r="M11" s="33">
        <v>1.6359999999999999</v>
      </c>
      <c r="N11" s="33">
        <v>1.984</v>
      </c>
      <c r="O11" s="33">
        <v>7.3540000000000001</v>
      </c>
      <c r="P11" s="33">
        <v>7.2560000000000002</v>
      </c>
      <c r="Q11" s="33">
        <v>11.987</v>
      </c>
      <c r="R11" s="33">
        <v>1.726</v>
      </c>
      <c r="S11" s="33">
        <v>2.153</v>
      </c>
      <c r="T11" s="33">
        <v>5.266</v>
      </c>
      <c r="U11" s="33">
        <v>24.672999999999998</v>
      </c>
      <c r="V11" s="33">
        <v>7.2560000000000002</v>
      </c>
      <c r="W11" s="33">
        <v>14.548999999999999</v>
      </c>
      <c r="X11" s="33">
        <v>8.3659999999999997</v>
      </c>
      <c r="Y11" s="33">
        <v>14.146000000000001</v>
      </c>
      <c r="Z11" s="33">
        <v>19.347000000000001</v>
      </c>
      <c r="AA11" s="33">
        <v>24.135000000000002</v>
      </c>
      <c r="AB11" s="33">
        <v>30.821999999999999</v>
      </c>
      <c r="AC11" s="33">
        <v>103.80200000000001</v>
      </c>
      <c r="AD11" s="33">
        <v>31.472000000000001</v>
      </c>
      <c r="AE11" s="33">
        <v>14.067</v>
      </c>
      <c r="AF11" s="33">
        <v>42.521000000000001</v>
      </c>
      <c r="AG11" s="33">
        <v>1.9259999999999999</v>
      </c>
      <c r="AH11" s="33">
        <v>0.56299999999999994</v>
      </c>
      <c r="AI11" s="33">
        <v>2.3050000000000002</v>
      </c>
      <c r="AJ11" s="33">
        <v>1.655</v>
      </c>
      <c r="AK11" s="33">
        <v>1.875</v>
      </c>
      <c r="AL11" s="33">
        <v>18.428000000000001</v>
      </c>
      <c r="AM11" s="33">
        <v>15.071999999999999</v>
      </c>
      <c r="AN11" s="33">
        <v>18.908000000000001</v>
      </c>
      <c r="AO11" s="33">
        <v>5.7610000000000001</v>
      </c>
      <c r="AP11" s="33">
        <v>3.9660000000000002</v>
      </c>
      <c r="AQ11" s="33">
        <v>13.525</v>
      </c>
      <c r="AR11" s="33">
        <v>14.682</v>
      </c>
      <c r="AS11" s="33">
        <v>19.202999999999999</v>
      </c>
      <c r="AT11" s="33">
        <v>32.238</v>
      </c>
      <c r="AU11" s="33">
        <v>104.39100000000001</v>
      </c>
      <c r="AV11" s="33">
        <v>13.67</v>
      </c>
      <c r="AW11" s="33">
        <v>9.0860000000000003</v>
      </c>
      <c r="AX11" s="33">
        <v>37.140999999999998</v>
      </c>
      <c r="AY11" s="33">
        <v>28.068999999999999</v>
      </c>
      <c r="AZ11" s="33">
        <v>48.252000000000002</v>
      </c>
    </row>
    <row r="12" spans="1:52">
      <c r="A12">
        <v>10</v>
      </c>
      <c r="B12" s="33">
        <v>7.8360000000000003</v>
      </c>
      <c r="C12" s="33">
        <v>20.148</v>
      </c>
      <c r="D12" s="33">
        <v>3.25</v>
      </c>
      <c r="E12" s="33">
        <v>3.649</v>
      </c>
      <c r="F12" s="33">
        <v>8.57</v>
      </c>
      <c r="G12" s="33">
        <v>2.4089999999999998</v>
      </c>
      <c r="H12" s="33">
        <v>6.1740000000000004</v>
      </c>
      <c r="I12" s="33">
        <v>4.2009999999999996</v>
      </c>
      <c r="J12" s="33">
        <v>3.698</v>
      </c>
      <c r="K12" s="33">
        <v>1.3740000000000001</v>
      </c>
      <c r="L12" s="33">
        <v>9999</v>
      </c>
      <c r="M12" s="33">
        <v>2.9580000000000002</v>
      </c>
      <c r="N12" s="33">
        <v>2.2839999999999998</v>
      </c>
      <c r="O12" s="33">
        <v>7.7279999999999998</v>
      </c>
      <c r="P12" s="33">
        <v>6.891</v>
      </c>
      <c r="Q12" s="33">
        <v>10.648999999999999</v>
      </c>
      <c r="R12" s="33">
        <v>1.66</v>
      </c>
      <c r="S12" s="33">
        <v>3.278</v>
      </c>
      <c r="T12" s="33">
        <v>7.5869999999999997</v>
      </c>
      <c r="U12" s="33">
        <v>24.308</v>
      </c>
      <c r="V12" s="33">
        <v>6.891</v>
      </c>
      <c r="W12" s="33">
        <v>13.433</v>
      </c>
      <c r="X12" s="33">
        <v>9.4369999999999994</v>
      </c>
      <c r="Y12" s="33">
        <v>19.803000000000001</v>
      </c>
      <c r="Z12" s="33">
        <v>18.981999999999999</v>
      </c>
      <c r="AA12" s="33">
        <v>23.77</v>
      </c>
      <c r="AB12" s="33">
        <v>32.143999999999998</v>
      </c>
      <c r="AC12" s="33">
        <v>105.124</v>
      </c>
      <c r="AD12" s="33">
        <v>30.071000000000002</v>
      </c>
      <c r="AE12" s="33">
        <v>12.558999999999999</v>
      </c>
      <c r="AF12" s="33">
        <v>42.155999999999999</v>
      </c>
      <c r="AG12" s="33">
        <v>1.1439999999999999</v>
      </c>
      <c r="AH12" s="33">
        <v>1.885</v>
      </c>
      <c r="AI12" s="33">
        <v>3.6269999999999998</v>
      </c>
      <c r="AJ12" s="33">
        <v>2.9769999999999999</v>
      </c>
      <c r="AK12" s="33">
        <v>1.093</v>
      </c>
      <c r="AL12" s="33">
        <v>19.75</v>
      </c>
      <c r="AM12" s="33">
        <v>13.734</v>
      </c>
      <c r="AN12" s="33">
        <v>17.57</v>
      </c>
      <c r="AO12" s="33">
        <v>6.931</v>
      </c>
      <c r="AP12" s="33">
        <v>3.4649999999999999</v>
      </c>
      <c r="AQ12" s="33">
        <v>14.795999999999999</v>
      </c>
      <c r="AR12" s="33">
        <v>17.416</v>
      </c>
      <c r="AS12" s="33">
        <v>20.274000000000001</v>
      </c>
      <c r="AT12" s="33">
        <v>33.56</v>
      </c>
      <c r="AU12" s="33">
        <v>105.71299999999999</v>
      </c>
      <c r="AV12" s="33">
        <v>14.462999999999999</v>
      </c>
      <c r="AW12" s="33">
        <v>10.157</v>
      </c>
      <c r="AX12" s="33">
        <v>36.024999999999999</v>
      </c>
      <c r="AY12" s="33">
        <v>27.704000000000001</v>
      </c>
      <c r="AZ12" s="33">
        <v>46.744</v>
      </c>
    </row>
    <row r="13" spans="1:52">
      <c r="A13">
        <v>11</v>
      </c>
      <c r="B13" s="33">
        <v>4.7859999999999996</v>
      </c>
      <c r="C13" s="33">
        <v>17.097999999999999</v>
      </c>
      <c r="D13" s="33">
        <v>0.66800000000000004</v>
      </c>
      <c r="E13" s="33">
        <v>1.0669999999999999</v>
      </c>
      <c r="F13" s="33">
        <v>5.6689999999999996</v>
      </c>
      <c r="G13" s="33">
        <v>0.61199999999999999</v>
      </c>
      <c r="H13" s="33">
        <v>3.2829999999999999</v>
      </c>
      <c r="I13" s="33">
        <v>1.619</v>
      </c>
      <c r="J13" s="33">
        <v>1.9570000000000001</v>
      </c>
      <c r="K13" s="33">
        <v>2.1850000000000001</v>
      </c>
      <c r="L13" s="33">
        <v>2.9430000000000001</v>
      </c>
      <c r="M13" s="33">
        <v>9999</v>
      </c>
      <c r="N13" s="33">
        <v>0.45700000000000002</v>
      </c>
      <c r="O13" s="33">
        <v>5.375</v>
      </c>
      <c r="P13" s="33">
        <v>5.6219999999999999</v>
      </c>
      <c r="Q13" s="33">
        <v>12.864000000000001</v>
      </c>
      <c r="R13" s="33">
        <v>2.286</v>
      </c>
      <c r="S13" s="33">
        <v>0.68200000000000005</v>
      </c>
      <c r="T13" s="33">
        <v>3.7330000000000001</v>
      </c>
      <c r="U13" s="33">
        <v>24.074999999999999</v>
      </c>
      <c r="V13" s="33">
        <v>5.6219999999999999</v>
      </c>
      <c r="W13" s="33">
        <v>15.388</v>
      </c>
      <c r="X13" s="33">
        <v>6.3869999999999996</v>
      </c>
      <c r="Y13" s="33">
        <v>13.727</v>
      </c>
      <c r="Z13" s="33">
        <v>17.713000000000001</v>
      </c>
      <c r="AA13" s="33">
        <v>22.501000000000001</v>
      </c>
      <c r="AB13" s="33">
        <v>30.402999999999999</v>
      </c>
      <c r="AC13" s="33">
        <v>103.383</v>
      </c>
      <c r="AD13" s="33">
        <v>28.802</v>
      </c>
      <c r="AE13" s="33">
        <v>14.944000000000001</v>
      </c>
      <c r="AF13" s="33">
        <v>40.887</v>
      </c>
      <c r="AG13" s="33">
        <v>2.8029999999999999</v>
      </c>
      <c r="AH13" s="33">
        <v>1.123</v>
      </c>
      <c r="AI13" s="33">
        <v>1.407</v>
      </c>
      <c r="AJ13" s="33">
        <v>0.93100000000000005</v>
      </c>
      <c r="AK13" s="33">
        <v>2.7519999999999998</v>
      </c>
      <c r="AL13" s="33">
        <v>18.009</v>
      </c>
      <c r="AM13" s="33">
        <v>15.949</v>
      </c>
      <c r="AN13" s="33">
        <v>19.785</v>
      </c>
      <c r="AO13" s="33">
        <v>3.782</v>
      </c>
      <c r="AP13" s="33">
        <v>3.31</v>
      </c>
      <c r="AQ13" s="33">
        <v>13.106</v>
      </c>
      <c r="AR13" s="33">
        <v>13.113</v>
      </c>
      <c r="AS13" s="33">
        <v>17.224</v>
      </c>
      <c r="AT13" s="33">
        <v>31.818999999999999</v>
      </c>
      <c r="AU13" s="33">
        <v>103.97199999999999</v>
      </c>
      <c r="AV13" s="33">
        <v>11.691000000000001</v>
      </c>
      <c r="AW13" s="33">
        <v>7.1070000000000002</v>
      </c>
      <c r="AX13" s="33">
        <v>39.78</v>
      </c>
      <c r="AY13" s="33">
        <v>26.434999999999999</v>
      </c>
      <c r="AZ13" s="33">
        <v>49.128999999999998</v>
      </c>
    </row>
    <row r="14" spans="1:52">
      <c r="A14">
        <v>12</v>
      </c>
      <c r="B14" s="33">
        <v>4.4050000000000002</v>
      </c>
      <c r="C14" s="33">
        <v>16.716999999999999</v>
      </c>
      <c r="D14" s="33">
        <v>0.63200000000000001</v>
      </c>
      <c r="E14" s="33">
        <v>1.0309999999999999</v>
      </c>
      <c r="F14" s="33">
        <v>6.4660000000000002</v>
      </c>
      <c r="G14" s="33">
        <v>0.56100000000000005</v>
      </c>
      <c r="H14" s="33">
        <v>4.08</v>
      </c>
      <c r="I14" s="33">
        <v>1.583</v>
      </c>
      <c r="J14" s="33">
        <v>2.3410000000000002</v>
      </c>
      <c r="K14" s="33">
        <v>1.9430000000000001</v>
      </c>
      <c r="L14" s="33">
        <v>2.7010000000000001</v>
      </c>
      <c r="M14" s="33">
        <v>0.45700000000000002</v>
      </c>
      <c r="N14" s="33">
        <v>9999</v>
      </c>
      <c r="O14" s="33">
        <v>4.9939999999999998</v>
      </c>
      <c r="P14" s="33">
        <v>5.2409999999999997</v>
      </c>
      <c r="Q14" s="33">
        <v>12.622</v>
      </c>
      <c r="R14" s="33">
        <v>2.7360000000000002</v>
      </c>
      <c r="S14" s="33">
        <v>0.30099999999999999</v>
      </c>
      <c r="T14" s="33">
        <v>3.3519999999999999</v>
      </c>
      <c r="U14" s="33">
        <v>22.658000000000001</v>
      </c>
      <c r="V14" s="33">
        <v>5.2409999999999997</v>
      </c>
      <c r="W14" s="33">
        <v>16.029</v>
      </c>
      <c r="X14" s="33">
        <v>6.0060000000000002</v>
      </c>
      <c r="Y14" s="33">
        <v>13.694000000000001</v>
      </c>
      <c r="Z14" s="33">
        <v>17.332000000000001</v>
      </c>
      <c r="AA14" s="33">
        <v>22.12</v>
      </c>
      <c r="AB14" s="33">
        <v>30.37</v>
      </c>
      <c r="AC14" s="33">
        <v>103.35</v>
      </c>
      <c r="AD14" s="33">
        <v>28.420999999999999</v>
      </c>
      <c r="AE14" s="33">
        <v>14.702</v>
      </c>
      <c r="AF14" s="33">
        <v>40.506</v>
      </c>
      <c r="AG14" s="33">
        <v>2.5609999999999999</v>
      </c>
      <c r="AH14" s="33">
        <v>1.373</v>
      </c>
      <c r="AI14" s="33">
        <v>1.371</v>
      </c>
      <c r="AJ14" s="33">
        <v>1.3149999999999999</v>
      </c>
      <c r="AK14" s="33">
        <v>2.5099999999999998</v>
      </c>
      <c r="AL14" s="33">
        <v>17.975999999999999</v>
      </c>
      <c r="AM14" s="33">
        <v>15.707000000000001</v>
      </c>
      <c r="AN14" s="33">
        <v>19.542999999999999</v>
      </c>
      <c r="AO14" s="33">
        <v>3.4009999999999998</v>
      </c>
      <c r="AP14" s="33">
        <v>2.746</v>
      </c>
      <c r="AQ14" s="33">
        <v>13.073</v>
      </c>
      <c r="AR14" s="33">
        <v>12.667</v>
      </c>
      <c r="AS14" s="33">
        <v>16.843</v>
      </c>
      <c r="AT14" s="33">
        <v>31.786000000000001</v>
      </c>
      <c r="AU14" s="33">
        <v>103.93899999999999</v>
      </c>
      <c r="AV14" s="33">
        <v>11.31</v>
      </c>
      <c r="AW14" s="33">
        <v>6.726</v>
      </c>
      <c r="AX14" s="33">
        <v>39.399000000000001</v>
      </c>
      <c r="AY14" s="33">
        <v>26.053999999999998</v>
      </c>
      <c r="AZ14" s="33">
        <v>48.887</v>
      </c>
    </row>
    <row r="15" spans="1:52">
      <c r="A15">
        <v>13</v>
      </c>
      <c r="B15" s="33">
        <v>4.12</v>
      </c>
      <c r="C15" s="33">
        <v>16.431999999999999</v>
      </c>
      <c r="D15" s="33">
        <v>4.9480000000000004</v>
      </c>
      <c r="E15" s="33">
        <v>4.2880000000000003</v>
      </c>
      <c r="F15" s="33">
        <v>6.4539999999999997</v>
      </c>
      <c r="G15" s="33">
        <v>3.6749999999999998</v>
      </c>
      <c r="H15" s="33">
        <v>4.9960000000000004</v>
      </c>
      <c r="I15" s="33">
        <v>4.84</v>
      </c>
      <c r="J15" s="33">
        <v>6.4109999999999996</v>
      </c>
      <c r="K15" s="33">
        <v>6.484</v>
      </c>
      <c r="L15" s="33">
        <v>5.5780000000000003</v>
      </c>
      <c r="M15" s="33">
        <v>4.2469999999999999</v>
      </c>
      <c r="N15" s="33">
        <v>4.55</v>
      </c>
      <c r="O15" s="33">
        <v>9999</v>
      </c>
      <c r="P15" s="33">
        <v>2.9929999999999999</v>
      </c>
      <c r="Q15" s="33">
        <v>14.942</v>
      </c>
      <c r="R15" s="33">
        <v>6.77</v>
      </c>
      <c r="S15" s="33">
        <v>4.617</v>
      </c>
      <c r="T15" s="33">
        <v>3.859</v>
      </c>
      <c r="U15" s="33">
        <v>20.527999999999999</v>
      </c>
      <c r="V15" s="33">
        <v>2.9929999999999999</v>
      </c>
      <c r="W15" s="33">
        <v>13.888999999999999</v>
      </c>
      <c r="X15" s="33">
        <v>5.7210000000000001</v>
      </c>
      <c r="Y15" s="33">
        <v>13.968999999999999</v>
      </c>
      <c r="Z15" s="33">
        <v>15.202</v>
      </c>
      <c r="AA15" s="33">
        <v>19.989999999999998</v>
      </c>
      <c r="AB15" s="33">
        <v>32.311</v>
      </c>
      <c r="AC15" s="33">
        <v>110.952</v>
      </c>
      <c r="AD15" s="33">
        <v>26.291</v>
      </c>
      <c r="AE15" s="33">
        <v>15.112</v>
      </c>
      <c r="AF15" s="33">
        <v>38.375999999999998</v>
      </c>
      <c r="AG15" s="33">
        <v>6.2539999999999996</v>
      </c>
      <c r="AH15" s="33">
        <v>4.5979999999999999</v>
      </c>
      <c r="AI15" s="33">
        <v>7.5229999999999997</v>
      </c>
      <c r="AJ15" s="33">
        <v>5.69</v>
      </c>
      <c r="AK15" s="33">
        <v>6.2030000000000003</v>
      </c>
      <c r="AL15" s="33">
        <v>19.951000000000001</v>
      </c>
      <c r="AM15" s="33">
        <v>20.934000000000001</v>
      </c>
      <c r="AN15" s="33">
        <v>21.863</v>
      </c>
      <c r="AO15" s="33">
        <v>3.2149999999999999</v>
      </c>
      <c r="AP15" s="33">
        <v>2.1589999999999998</v>
      </c>
      <c r="AQ15" s="33">
        <v>13.348000000000001</v>
      </c>
      <c r="AR15" s="33">
        <v>10.537000000000001</v>
      </c>
      <c r="AS15" s="33">
        <v>16.558</v>
      </c>
      <c r="AT15" s="33">
        <v>33.761000000000003</v>
      </c>
      <c r="AU15" s="33">
        <v>111.541</v>
      </c>
      <c r="AV15" s="33">
        <v>11.025</v>
      </c>
      <c r="AW15" s="33">
        <v>6.4409999999999998</v>
      </c>
      <c r="AX15" s="33">
        <v>37.268999999999998</v>
      </c>
      <c r="AY15" s="33">
        <v>23.923999999999999</v>
      </c>
      <c r="AZ15" s="33">
        <v>49.296999999999997</v>
      </c>
    </row>
    <row r="16" spans="1:52">
      <c r="A16">
        <v>14</v>
      </c>
      <c r="B16" s="33">
        <v>3.4969999999999999</v>
      </c>
      <c r="C16" s="33">
        <v>15.808999999999999</v>
      </c>
      <c r="D16" s="33">
        <v>6.1150000000000002</v>
      </c>
      <c r="E16" s="33">
        <v>5.4550000000000001</v>
      </c>
      <c r="F16" s="33">
        <v>6.8170000000000002</v>
      </c>
      <c r="G16" s="33">
        <v>4.8419999999999996</v>
      </c>
      <c r="H16" s="33">
        <v>6.032</v>
      </c>
      <c r="I16" s="33">
        <v>6.0069999999999997</v>
      </c>
      <c r="J16" s="33">
        <v>7.5780000000000003</v>
      </c>
      <c r="K16" s="33">
        <v>6.335</v>
      </c>
      <c r="L16" s="33">
        <v>6.7530000000000001</v>
      </c>
      <c r="M16" s="33">
        <v>5.4139999999999997</v>
      </c>
      <c r="N16" s="33">
        <v>5.7169999999999996</v>
      </c>
      <c r="O16" s="33">
        <v>2.2519999999999998</v>
      </c>
      <c r="P16" s="33">
        <v>9999</v>
      </c>
      <c r="Q16" s="33">
        <v>16.119</v>
      </c>
      <c r="R16" s="33">
        <v>7.9450000000000003</v>
      </c>
      <c r="S16" s="33">
        <v>5.7839999999999998</v>
      </c>
      <c r="T16" s="33">
        <v>5.0810000000000004</v>
      </c>
      <c r="U16" s="33">
        <v>19.625</v>
      </c>
      <c r="V16" s="33">
        <v>0</v>
      </c>
      <c r="W16" s="33">
        <v>15.066000000000001</v>
      </c>
      <c r="X16" s="33">
        <v>5.0979999999999999</v>
      </c>
      <c r="Y16" s="33">
        <v>14.332000000000001</v>
      </c>
      <c r="Z16" s="33">
        <v>14.298999999999999</v>
      </c>
      <c r="AA16" s="33">
        <v>19.087</v>
      </c>
      <c r="AB16" s="33">
        <v>32.673999999999999</v>
      </c>
      <c r="AC16" s="33">
        <v>111.315</v>
      </c>
      <c r="AD16" s="33">
        <v>25.388000000000002</v>
      </c>
      <c r="AE16" s="33">
        <v>16.289000000000001</v>
      </c>
      <c r="AF16" s="33">
        <v>37.472999999999999</v>
      </c>
      <c r="AG16" s="33">
        <v>7.4290000000000003</v>
      </c>
      <c r="AH16" s="33">
        <v>5.7649999999999997</v>
      </c>
      <c r="AI16" s="33">
        <v>6.8540000000000001</v>
      </c>
      <c r="AJ16" s="33">
        <v>6.8570000000000002</v>
      </c>
      <c r="AK16" s="33">
        <v>7.3780000000000001</v>
      </c>
      <c r="AL16" s="33">
        <v>20.314</v>
      </c>
      <c r="AM16" s="33">
        <v>19.204000000000001</v>
      </c>
      <c r="AN16" s="33">
        <v>23.04</v>
      </c>
      <c r="AO16" s="33">
        <v>4.4370000000000003</v>
      </c>
      <c r="AP16" s="33">
        <v>3.3260000000000001</v>
      </c>
      <c r="AQ16" s="33">
        <v>13.711</v>
      </c>
      <c r="AR16" s="33">
        <v>8.4809999999999999</v>
      </c>
      <c r="AS16" s="33">
        <v>15.935</v>
      </c>
      <c r="AT16" s="33">
        <v>34.124000000000002</v>
      </c>
      <c r="AU16" s="33">
        <v>111.904</v>
      </c>
      <c r="AV16" s="33">
        <v>10.401999999999999</v>
      </c>
      <c r="AW16" s="33">
        <v>5.8179999999999996</v>
      </c>
      <c r="AX16" s="33">
        <v>36.366</v>
      </c>
      <c r="AY16" s="33">
        <v>23.021000000000001</v>
      </c>
      <c r="AZ16" s="33">
        <v>50.473999999999997</v>
      </c>
    </row>
    <row r="17" spans="1:52">
      <c r="A17">
        <v>15</v>
      </c>
      <c r="B17" s="33">
        <v>17.265999999999998</v>
      </c>
      <c r="C17" s="33">
        <v>29.577999999999999</v>
      </c>
      <c r="D17" s="33">
        <v>12.654999999999999</v>
      </c>
      <c r="E17" s="33">
        <v>13.054</v>
      </c>
      <c r="F17" s="33">
        <v>25.245000000000001</v>
      </c>
      <c r="G17" s="33">
        <v>15.736000000000001</v>
      </c>
      <c r="H17" s="33">
        <v>18.154</v>
      </c>
      <c r="I17" s="33">
        <v>13.606</v>
      </c>
      <c r="J17" s="33">
        <v>16.524999999999999</v>
      </c>
      <c r="K17" s="33">
        <v>10.779</v>
      </c>
      <c r="L17" s="33">
        <v>10.648999999999999</v>
      </c>
      <c r="M17" s="33">
        <v>12.363</v>
      </c>
      <c r="N17" s="33">
        <v>12.711</v>
      </c>
      <c r="O17" s="33">
        <v>17.158000000000001</v>
      </c>
      <c r="P17" s="33">
        <v>16.321000000000002</v>
      </c>
      <c r="Q17" s="33">
        <v>9999</v>
      </c>
      <c r="R17" s="33">
        <v>11.065</v>
      </c>
      <c r="S17" s="33">
        <v>12.88</v>
      </c>
      <c r="T17" s="33">
        <v>17.016999999999999</v>
      </c>
      <c r="U17" s="33">
        <v>33.256</v>
      </c>
      <c r="V17" s="33">
        <v>16.321000000000002</v>
      </c>
      <c r="W17" s="33">
        <v>20.22</v>
      </c>
      <c r="X17" s="33">
        <v>18.867000000000001</v>
      </c>
      <c r="Y17" s="33">
        <v>23.417000000000002</v>
      </c>
      <c r="Z17" s="33">
        <v>27.93</v>
      </c>
      <c r="AA17" s="33">
        <v>32.718000000000004</v>
      </c>
      <c r="AB17" s="33">
        <v>38.292000000000002</v>
      </c>
      <c r="AC17" s="33">
        <v>111.262</v>
      </c>
      <c r="AD17" s="33">
        <v>39.018999999999998</v>
      </c>
      <c r="AE17" s="33">
        <v>10.247999999999999</v>
      </c>
      <c r="AF17" s="33">
        <v>51.103999999999999</v>
      </c>
      <c r="AG17" s="33">
        <v>10.548999999999999</v>
      </c>
      <c r="AH17" s="33">
        <v>11.29</v>
      </c>
      <c r="AI17" s="33">
        <v>13.032</v>
      </c>
      <c r="AJ17" s="33">
        <v>12.382</v>
      </c>
      <c r="AK17" s="33">
        <v>10.497999999999999</v>
      </c>
      <c r="AL17" s="33">
        <v>25.898</v>
      </c>
      <c r="AM17" s="33">
        <v>3.0840000000000001</v>
      </c>
      <c r="AN17" s="33">
        <v>6.92</v>
      </c>
      <c r="AO17" s="33">
        <v>16.361000000000001</v>
      </c>
      <c r="AP17" s="33">
        <v>14.012</v>
      </c>
      <c r="AQ17" s="33">
        <v>22.795999999999999</v>
      </c>
      <c r="AR17" s="33">
        <v>23.885999999999999</v>
      </c>
      <c r="AS17" s="33">
        <v>29.704000000000001</v>
      </c>
      <c r="AT17" s="33">
        <v>39.707999999999998</v>
      </c>
      <c r="AU17" s="33">
        <v>111.851</v>
      </c>
      <c r="AV17" s="33">
        <v>24.170999999999999</v>
      </c>
      <c r="AW17" s="33">
        <v>19.587</v>
      </c>
      <c r="AX17" s="33">
        <v>42.811999999999998</v>
      </c>
      <c r="AY17" s="33">
        <v>36.652000000000001</v>
      </c>
      <c r="AZ17" s="33">
        <v>37.670999999999999</v>
      </c>
    </row>
    <row r="18" spans="1:52">
      <c r="A18">
        <v>16</v>
      </c>
      <c r="B18" s="33">
        <v>7.1310000000000002</v>
      </c>
      <c r="C18" s="33">
        <v>19.443000000000001</v>
      </c>
      <c r="D18" s="33">
        <v>3.3740000000000001</v>
      </c>
      <c r="E18" s="33">
        <v>3.7730000000000001</v>
      </c>
      <c r="F18" s="33">
        <v>7.6040000000000001</v>
      </c>
      <c r="G18" s="33">
        <v>3.94</v>
      </c>
      <c r="H18" s="33">
        <v>5.218</v>
      </c>
      <c r="I18" s="33">
        <v>4.3250000000000002</v>
      </c>
      <c r="J18" s="33">
        <v>2.742</v>
      </c>
      <c r="K18" s="33">
        <v>1.498</v>
      </c>
      <c r="L18" s="33">
        <v>1.919</v>
      </c>
      <c r="M18" s="33">
        <v>3.0819999999999999</v>
      </c>
      <c r="N18" s="33">
        <v>3.43</v>
      </c>
      <c r="O18" s="33">
        <v>7.72</v>
      </c>
      <c r="P18" s="33">
        <v>8.5470000000000006</v>
      </c>
      <c r="Q18" s="33">
        <v>11.337</v>
      </c>
      <c r="R18" s="33">
        <v>9999</v>
      </c>
      <c r="S18" s="33">
        <v>3.5990000000000002</v>
      </c>
      <c r="T18" s="33">
        <v>5.6319999999999997</v>
      </c>
      <c r="U18" s="33">
        <v>25.963999999999999</v>
      </c>
      <c r="V18" s="33">
        <v>8.5470000000000006</v>
      </c>
      <c r="W18" s="33">
        <v>15.089</v>
      </c>
      <c r="X18" s="33">
        <v>8.7319999999999993</v>
      </c>
      <c r="Y18" s="33">
        <v>14.712</v>
      </c>
      <c r="Z18" s="33">
        <v>20.638000000000002</v>
      </c>
      <c r="AA18" s="33">
        <v>25.425999999999998</v>
      </c>
      <c r="AB18" s="33">
        <v>31.187999999999999</v>
      </c>
      <c r="AC18" s="33">
        <v>104.16800000000001</v>
      </c>
      <c r="AD18" s="33">
        <v>31.727</v>
      </c>
      <c r="AE18" s="33">
        <v>15.224</v>
      </c>
      <c r="AF18" s="33">
        <v>43.811999999999998</v>
      </c>
      <c r="AG18" s="33">
        <v>1.268</v>
      </c>
      <c r="AH18" s="33">
        <v>2.0089999999999999</v>
      </c>
      <c r="AI18" s="33">
        <v>2.6709999999999998</v>
      </c>
      <c r="AJ18" s="33">
        <v>2.0209999999999999</v>
      </c>
      <c r="AK18" s="33">
        <v>1.2170000000000001</v>
      </c>
      <c r="AL18" s="33">
        <v>18.794</v>
      </c>
      <c r="AM18" s="33">
        <v>17.27</v>
      </c>
      <c r="AN18" s="33">
        <v>18.257999999999999</v>
      </c>
      <c r="AO18" s="33">
        <v>6.1269999999999998</v>
      </c>
      <c r="AP18" s="33">
        <v>4.173</v>
      </c>
      <c r="AQ18" s="33">
        <v>14.090999999999999</v>
      </c>
      <c r="AR18" s="33">
        <v>18.318000000000001</v>
      </c>
      <c r="AS18" s="33">
        <v>19.568999999999999</v>
      </c>
      <c r="AT18" s="33">
        <v>32.603999999999999</v>
      </c>
      <c r="AU18" s="33">
        <v>104.75700000000001</v>
      </c>
      <c r="AV18" s="33">
        <v>14.036</v>
      </c>
      <c r="AW18" s="33">
        <v>9.452</v>
      </c>
      <c r="AX18" s="33">
        <v>37.680999999999997</v>
      </c>
      <c r="AY18" s="33">
        <v>29.36</v>
      </c>
      <c r="AZ18" s="33">
        <v>48.792000000000002</v>
      </c>
    </row>
    <row r="19" spans="1:52">
      <c r="A19">
        <v>17</v>
      </c>
      <c r="B19" s="33">
        <v>4.47</v>
      </c>
      <c r="C19" s="33">
        <v>16.782</v>
      </c>
      <c r="D19" s="33">
        <v>0.68500000000000005</v>
      </c>
      <c r="E19" s="33">
        <v>0.73</v>
      </c>
      <c r="F19" s="33">
        <v>5.3239999999999998</v>
      </c>
      <c r="G19" s="33">
        <v>0.78800000000000003</v>
      </c>
      <c r="H19" s="33">
        <v>2.9380000000000002</v>
      </c>
      <c r="I19" s="33">
        <v>1.282</v>
      </c>
      <c r="J19" s="33">
        <v>2.3639999999999999</v>
      </c>
      <c r="K19" s="33">
        <v>2.1659999999999999</v>
      </c>
      <c r="L19" s="33">
        <v>2.9239999999999999</v>
      </c>
      <c r="M19" s="33">
        <v>0.68</v>
      </c>
      <c r="N19" s="33">
        <v>0.29899999999999999</v>
      </c>
      <c r="O19" s="33">
        <v>5.0590000000000002</v>
      </c>
      <c r="P19" s="33">
        <v>5.306</v>
      </c>
      <c r="Q19" s="33">
        <v>12.845000000000001</v>
      </c>
      <c r="R19" s="33">
        <v>2.7589999999999999</v>
      </c>
      <c r="S19" s="33">
        <v>9999</v>
      </c>
      <c r="T19" s="33">
        <v>3.4169999999999998</v>
      </c>
      <c r="U19" s="33">
        <v>22.722999999999999</v>
      </c>
      <c r="V19" s="33">
        <v>5.306</v>
      </c>
      <c r="W19" s="33">
        <v>16.094000000000001</v>
      </c>
      <c r="X19" s="33">
        <v>6.0709999999999997</v>
      </c>
      <c r="Y19" s="33">
        <v>13.393000000000001</v>
      </c>
      <c r="Z19" s="33">
        <v>17.396999999999998</v>
      </c>
      <c r="AA19" s="33">
        <v>22.184999999999999</v>
      </c>
      <c r="AB19" s="33">
        <v>30.068999999999999</v>
      </c>
      <c r="AC19" s="33">
        <v>103.04900000000001</v>
      </c>
      <c r="AD19" s="33">
        <v>28.486000000000001</v>
      </c>
      <c r="AE19" s="33">
        <v>14.925000000000001</v>
      </c>
      <c r="AF19" s="33">
        <v>40.570999999999998</v>
      </c>
      <c r="AG19" s="33">
        <v>2.7839999999999998</v>
      </c>
      <c r="AH19" s="33">
        <v>1.5960000000000001</v>
      </c>
      <c r="AI19" s="33">
        <v>1.3939999999999999</v>
      </c>
      <c r="AJ19" s="33">
        <v>1.3380000000000001</v>
      </c>
      <c r="AK19" s="33">
        <v>2.7330000000000001</v>
      </c>
      <c r="AL19" s="33">
        <v>17.675000000000001</v>
      </c>
      <c r="AM19" s="33">
        <v>15.93</v>
      </c>
      <c r="AN19" s="33">
        <v>25.553999999999998</v>
      </c>
      <c r="AO19" s="33">
        <v>3.4660000000000002</v>
      </c>
      <c r="AP19" s="33">
        <v>2.8109999999999999</v>
      </c>
      <c r="AQ19" s="33">
        <v>12.772</v>
      </c>
      <c r="AR19" s="33">
        <v>12.731999999999999</v>
      </c>
      <c r="AS19" s="33">
        <v>16.908000000000001</v>
      </c>
      <c r="AT19" s="33">
        <v>31.484999999999999</v>
      </c>
      <c r="AU19" s="33">
        <v>103.63800000000001</v>
      </c>
      <c r="AV19" s="33">
        <v>11.375</v>
      </c>
      <c r="AW19" s="33">
        <v>6.7910000000000004</v>
      </c>
      <c r="AX19" s="33">
        <v>39.463999999999999</v>
      </c>
      <c r="AY19" s="33">
        <v>26.119</v>
      </c>
      <c r="AZ19" s="33">
        <v>49.11</v>
      </c>
    </row>
    <row r="20" spans="1:52">
      <c r="A20">
        <v>18</v>
      </c>
      <c r="B20" s="33">
        <v>1.8109999999999999</v>
      </c>
      <c r="C20" s="33">
        <v>14.122999999999999</v>
      </c>
      <c r="D20" s="33">
        <v>3.2130000000000001</v>
      </c>
      <c r="E20" s="33">
        <v>2.67</v>
      </c>
      <c r="F20" s="33">
        <v>3.5219999999999998</v>
      </c>
      <c r="G20" s="33">
        <v>3.0419999999999998</v>
      </c>
      <c r="H20" s="33">
        <v>1.1359999999999999</v>
      </c>
      <c r="I20" s="33">
        <v>3.2210000000000001</v>
      </c>
      <c r="J20" s="33">
        <v>4.6029999999999998</v>
      </c>
      <c r="K20" s="33">
        <v>4.3330000000000002</v>
      </c>
      <c r="L20" s="33">
        <v>4.3029999999999999</v>
      </c>
      <c r="M20" s="33">
        <v>3.6150000000000002</v>
      </c>
      <c r="N20" s="33">
        <v>3.3580000000000001</v>
      </c>
      <c r="O20" s="33">
        <v>2.4</v>
      </c>
      <c r="P20" s="33">
        <v>5.2329999999999997</v>
      </c>
      <c r="Q20" s="33">
        <v>17.064</v>
      </c>
      <c r="R20" s="33">
        <v>5.1150000000000002</v>
      </c>
      <c r="S20" s="33">
        <v>3.1850000000000001</v>
      </c>
      <c r="T20" s="33">
        <v>9999</v>
      </c>
      <c r="U20" s="33">
        <v>22.65</v>
      </c>
      <c r="V20" s="33">
        <v>5.2329999999999997</v>
      </c>
      <c r="W20" s="33">
        <v>16.010999999999999</v>
      </c>
      <c r="X20" s="33">
        <v>3.4119999999999999</v>
      </c>
      <c r="Y20" s="33">
        <v>11.037000000000001</v>
      </c>
      <c r="Z20" s="33">
        <v>17.324000000000002</v>
      </c>
      <c r="AA20" s="33">
        <v>22.111999999999998</v>
      </c>
      <c r="AB20" s="33">
        <v>29.379000000000001</v>
      </c>
      <c r="AC20" s="33">
        <v>108.02</v>
      </c>
      <c r="AD20" s="33">
        <v>28.413</v>
      </c>
      <c r="AE20" s="33">
        <v>17.234000000000002</v>
      </c>
      <c r="AF20" s="33">
        <v>40.497999999999998</v>
      </c>
      <c r="AG20" s="33">
        <v>4.5990000000000002</v>
      </c>
      <c r="AH20" s="33">
        <v>3.7629999999999999</v>
      </c>
      <c r="AI20" s="33">
        <v>3.9369999999999998</v>
      </c>
      <c r="AJ20" s="33">
        <v>4.4459999999999997</v>
      </c>
      <c r="AK20" s="33">
        <v>4.548</v>
      </c>
      <c r="AL20" s="33">
        <v>17.018999999999998</v>
      </c>
      <c r="AM20" s="33">
        <v>20.149000000000001</v>
      </c>
      <c r="AN20" s="33">
        <v>23.984999999999999</v>
      </c>
      <c r="AO20" s="33">
        <v>0.80700000000000005</v>
      </c>
      <c r="AP20" s="33">
        <v>4.2809999999999997</v>
      </c>
      <c r="AQ20" s="33">
        <v>10.416</v>
      </c>
      <c r="AR20" s="33">
        <v>11.093</v>
      </c>
      <c r="AS20" s="33">
        <v>14.249000000000001</v>
      </c>
      <c r="AT20" s="33">
        <v>30.829000000000001</v>
      </c>
      <c r="AU20" s="33">
        <v>108.60899999999999</v>
      </c>
      <c r="AV20" s="33">
        <v>8.7159999999999993</v>
      </c>
      <c r="AW20" s="33">
        <v>4.1319999999999997</v>
      </c>
      <c r="AX20" s="33">
        <v>39.390999999999998</v>
      </c>
      <c r="AY20" s="33">
        <v>26.045999999999999</v>
      </c>
      <c r="AZ20" s="33">
        <v>51.418999999999997</v>
      </c>
    </row>
    <row r="21" spans="1:52">
      <c r="A21">
        <v>19</v>
      </c>
      <c r="B21" s="33">
        <v>21.25</v>
      </c>
      <c r="C21" s="33">
        <v>33.561999999999998</v>
      </c>
      <c r="D21" s="33">
        <v>23.76</v>
      </c>
      <c r="E21" s="33">
        <v>23.1</v>
      </c>
      <c r="F21" s="33">
        <v>24.57</v>
      </c>
      <c r="G21" s="33">
        <v>22.486999999999998</v>
      </c>
      <c r="H21" s="33">
        <v>23.863</v>
      </c>
      <c r="I21" s="33">
        <v>23.652000000000001</v>
      </c>
      <c r="J21" s="33">
        <v>25.222999999999999</v>
      </c>
      <c r="K21" s="33">
        <v>23.98</v>
      </c>
      <c r="L21" s="33">
        <v>24.398</v>
      </c>
      <c r="M21" s="33">
        <v>23.059000000000001</v>
      </c>
      <c r="N21" s="33">
        <v>23.361999999999998</v>
      </c>
      <c r="O21" s="33">
        <v>22.879000000000001</v>
      </c>
      <c r="P21" s="33">
        <v>20.353000000000002</v>
      </c>
      <c r="Q21" s="33">
        <v>33.232999999999997</v>
      </c>
      <c r="R21" s="33">
        <v>25.59</v>
      </c>
      <c r="S21" s="33">
        <v>23.428999999999998</v>
      </c>
      <c r="T21" s="33">
        <v>22.725999999999999</v>
      </c>
      <c r="U21" s="33">
        <v>9999</v>
      </c>
      <c r="V21" s="33">
        <v>20.353000000000002</v>
      </c>
      <c r="W21" s="33">
        <v>18.983000000000001</v>
      </c>
      <c r="X21" s="33">
        <v>22.850999999999999</v>
      </c>
      <c r="Y21" s="33">
        <v>32.018000000000001</v>
      </c>
      <c r="Z21" s="33">
        <v>6.9359999999999999</v>
      </c>
      <c r="AA21" s="33">
        <v>0.69199999999999995</v>
      </c>
      <c r="AB21" s="33">
        <v>50.427</v>
      </c>
      <c r="AC21" s="33">
        <v>129.06800000000001</v>
      </c>
      <c r="AD21" s="33">
        <v>11.863</v>
      </c>
      <c r="AE21" s="33">
        <v>29.492999999999999</v>
      </c>
      <c r="AF21" s="33">
        <v>18.126000000000001</v>
      </c>
      <c r="AG21" s="33">
        <v>25.074000000000002</v>
      </c>
      <c r="AH21" s="33">
        <v>23.41</v>
      </c>
      <c r="AI21" s="33">
        <v>24.498999999999999</v>
      </c>
      <c r="AJ21" s="33">
        <v>24.501999999999999</v>
      </c>
      <c r="AK21" s="33">
        <v>25.023</v>
      </c>
      <c r="AL21" s="33">
        <v>38.067</v>
      </c>
      <c r="AM21" s="33">
        <v>36.317999999999998</v>
      </c>
      <c r="AN21" s="33">
        <v>40.154000000000003</v>
      </c>
      <c r="AO21" s="33">
        <v>22.082000000000001</v>
      </c>
      <c r="AP21" s="33">
        <v>20.971</v>
      </c>
      <c r="AQ21" s="33">
        <v>31.463999999999999</v>
      </c>
      <c r="AR21" s="33">
        <v>17.105</v>
      </c>
      <c r="AS21" s="33">
        <v>33.688000000000002</v>
      </c>
      <c r="AT21" s="33">
        <v>51.877000000000002</v>
      </c>
      <c r="AU21" s="33">
        <v>129.65700000000001</v>
      </c>
      <c r="AV21" s="33">
        <v>28.088000000000001</v>
      </c>
      <c r="AW21" s="33">
        <v>23.571000000000002</v>
      </c>
      <c r="AX21" s="33">
        <v>31.756</v>
      </c>
      <c r="AY21" s="33">
        <v>9.4960000000000004</v>
      </c>
      <c r="AZ21" s="33">
        <v>63.811</v>
      </c>
    </row>
    <row r="22" spans="1:52">
      <c r="A22">
        <v>20</v>
      </c>
      <c r="B22" s="33">
        <v>3.4969999999999999</v>
      </c>
      <c r="C22" s="33">
        <v>15.808999999999999</v>
      </c>
      <c r="D22" s="33">
        <v>6.1150000000000002</v>
      </c>
      <c r="E22" s="33">
        <v>5.4550000000000001</v>
      </c>
      <c r="F22" s="33">
        <v>6.8170000000000002</v>
      </c>
      <c r="G22" s="33">
        <v>4.8419999999999996</v>
      </c>
      <c r="H22" s="33">
        <v>6.032</v>
      </c>
      <c r="I22" s="33">
        <v>6.0069999999999997</v>
      </c>
      <c r="J22" s="33">
        <v>7.5780000000000003</v>
      </c>
      <c r="K22" s="33">
        <v>6.335</v>
      </c>
      <c r="L22" s="33">
        <v>6.7530000000000001</v>
      </c>
      <c r="M22" s="33">
        <v>5.4139999999999997</v>
      </c>
      <c r="N22" s="33">
        <v>5.7169999999999996</v>
      </c>
      <c r="O22" s="33">
        <v>2.2519999999999998</v>
      </c>
      <c r="P22" s="33">
        <v>0</v>
      </c>
      <c r="Q22" s="33">
        <v>16.119</v>
      </c>
      <c r="R22" s="33">
        <v>7.9450000000000003</v>
      </c>
      <c r="S22" s="33">
        <v>5.7839999999999998</v>
      </c>
      <c r="T22" s="33">
        <v>5.0810000000000004</v>
      </c>
      <c r="U22" s="33">
        <v>20.661000000000001</v>
      </c>
      <c r="V22" s="33">
        <v>9999</v>
      </c>
      <c r="W22" s="33">
        <v>18.899000000000001</v>
      </c>
      <c r="X22" s="33">
        <v>5.0979999999999999</v>
      </c>
      <c r="Y22" s="33">
        <v>14.332000000000001</v>
      </c>
      <c r="Z22" s="33">
        <v>14.298999999999999</v>
      </c>
      <c r="AA22" s="33">
        <v>19.087</v>
      </c>
      <c r="AB22" s="33">
        <v>32.673999999999999</v>
      </c>
      <c r="AC22" s="33">
        <v>111.315</v>
      </c>
      <c r="AD22" s="33">
        <v>26.423999999999999</v>
      </c>
      <c r="AE22" s="33">
        <v>16.289000000000001</v>
      </c>
      <c r="AF22" s="33">
        <v>37.472999999999999</v>
      </c>
      <c r="AG22" s="33">
        <v>7.4290000000000003</v>
      </c>
      <c r="AH22" s="33">
        <v>5.7649999999999997</v>
      </c>
      <c r="AI22" s="33">
        <v>6.8540000000000001</v>
      </c>
      <c r="AJ22" s="33">
        <v>6.8570000000000002</v>
      </c>
      <c r="AK22" s="33">
        <v>7.3780000000000001</v>
      </c>
      <c r="AL22" s="33">
        <v>20.314</v>
      </c>
      <c r="AM22" s="33">
        <v>19.204000000000001</v>
      </c>
      <c r="AN22" s="33">
        <v>23.04</v>
      </c>
      <c r="AO22" s="33">
        <v>4.4370000000000003</v>
      </c>
      <c r="AP22" s="33">
        <v>3.3260000000000001</v>
      </c>
      <c r="AQ22" s="33">
        <v>13.711</v>
      </c>
      <c r="AR22" s="33">
        <v>8.4809999999999999</v>
      </c>
      <c r="AS22" s="33">
        <v>15.935</v>
      </c>
      <c r="AT22" s="33">
        <v>34.124000000000002</v>
      </c>
      <c r="AU22" s="33">
        <v>111.904</v>
      </c>
      <c r="AV22" s="33">
        <v>10.401999999999999</v>
      </c>
      <c r="AW22" s="33">
        <v>5.8179999999999996</v>
      </c>
      <c r="AX22" s="33">
        <v>36.366</v>
      </c>
      <c r="AY22" s="33">
        <v>23.021000000000001</v>
      </c>
      <c r="AZ22" s="33">
        <v>50.473999999999997</v>
      </c>
    </row>
    <row r="23" spans="1:52">
      <c r="A23">
        <v>21</v>
      </c>
      <c r="B23" s="33">
        <v>16.379000000000001</v>
      </c>
      <c r="C23" s="33">
        <v>28.690999999999999</v>
      </c>
      <c r="D23" s="33">
        <v>16.045999999999999</v>
      </c>
      <c r="E23" s="33">
        <v>18.082000000000001</v>
      </c>
      <c r="F23" s="33">
        <v>18.713000000000001</v>
      </c>
      <c r="G23" s="33">
        <v>14.846</v>
      </c>
      <c r="H23" s="33">
        <v>17.266999999999999</v>
      </c>
      <c r="I23" s="33">
        <v>18.861999999999998</v>
      </c>
      <c r="J23" s="33">
        <v>16.399999999999999</v>
      </c>
      <c r="K23" s="33">
        <v>14.324999999999999</v>
      </c>
      <c r="L23" s="33">
        <v>13.54</v>
      </c>
      <c r="M23" s="33">
        <v>14.96</v>
      </c>
      <c r="N23" s="33">
        <v>14.909000000000001</v>
      </c>
      <c r="O23" s="33">
        <v>16.271000000000001</v>
      </c>
      <c r="P23" s="33">
        <v>15.433999999999999</v>
      </c>
      <c r="Q23" s="33">
        <v>20.228999999999999</v>
      </c>
      <c r="R23" s="33">
        <v>14.611000000000001</v>
      </c>
      <c r="S23" s="33">
        <v>15.715</v>
      </c>
      <c r="T23" s="33">
        <v>16.13</v>
      </c>
      <c r="U23" s="33">
        <v>18.821999999999999</v>
      </c>
      <c r="V23" s="33">
        <v>15.433999999999999</v>
      </c>
      <c r="W23" s="33">
        <v>9999</v>
      </c>
      <c r="X23" s="33">
        <v>17.98</v>
      </c>
      <c r="Y23" s="33">
        <v>32.149000000000001</v>
      </c>
      <c r="Z23" s="33">
        <v>13.496</v>
      </c>
      <c r="AA23" s="33">
        <v>18.283999999999999</v>
      </c>
      <c r="AB23" s="33">
        <v>49.372</v>
      </c>
      <c r="AC23" s="33">
        <v>122.352</v>
      </c>
      <c r="AD23" s="33">
        <v>24.585000000000001</v>
      </c>
      <c r="AE23" s="33">
        <v>16.489000000000001</v>
      </c>
      <c r="AF23" s="33">
        <v>36.67</v>
      </c>
      <c r="AG23" s="33">
        <v>14.095000000000001</v>
      </c>
      <c r="AH23" s="33">
        <v>14.587</v>
      </c>
      <c r="AI23" s="33">
        <v>16.329000000000001</v>
      </c>
      <c r="AJ23" s="33">
        <v>15.679</v>
      </c>
      <c r="AK23" s="33">
        <v>14.044</v>
      </c>
      <c r="AL23" s="33">
        <v>38.131</v>
      </c>
      <c r="AM23" s="33">
        <v>23.314</v>
      </c>
      <c r="AN23" s="33">
        <v>27.15</v>
      </c>
      <c r="AO23" s="33">
        <v>15.474</v>
      </c>
      <c r="AP23" s="33">
        <v>13.122</v>
      </c>
      <c r="AQ23" s="33">
        <v>31.527999999999999</v>
      </c>
      <c r="AR23" s="33">
        <v>15.818</v>
      </c>
      <c r="AS23" s="33">
        <v>28.817</v>
      </c>
      <c r="AT23" s="33">
        <v>51.941000000000003</v>
      </c>
      <c r="AU23" s="33">
        <v>122.941</v>
      </c>
      <c r="AV23" s="33">
        <v>23.283999999999999</v>
      </c>
      <c r="AW23" s="33">
        <v>18.7</v>
      </c>
      <c r="AX23" s="33">
        <v>25.087</v>
      </c>
      <c r="AY23" s="33">
        <v>22.218</v>
      </c>
      <c r="AZ23" s="33">
        <v>50.807000000000002</v>
      </c>
    </row>
    <row r="24" spans="1:52">
      <c r="A24">
        <v>22</v>
      </c>
      <c r="B24" s="33">
        <v>2.0840000000000001</v>
      </c>
      <c r="C24" s="33">
        <v>10.967000000000001</v>
      </c>
      <c r="D24" s="33">
        <v>5.9080000000000004</v>
      </c>
      <c r="E24" s="33">
        <v>5.3650000000000002</v>
      </c>
      <c r="F24" s="33">
        <v>4.8929999999999998</v>
      </c>
      <c r="G24" s="33">
        <v>5.4530000000000003</v>
      </c>
      <c r="H24" s="33">
        <v>4.1079999999999997</v>
      </c>
      <c r="I24" s="33">
        <v>5.9169999999999998</v>
      </c>
      <c r="J24" s="33">
        <v>7.7</v>
      </c>
      <c r="K24" s="33">
        <v>6.7439999999999998</v>
      </c>
      <c r="L24" s="33">
        <v>9.2430000000000003</v>
      </c>
      <c r="M24" s="33">
        <v>6.15</v>
      </c>
      <c r="N24" s="33">
        <v>5.7690000000000001</v>
      </c>
      <c r="O24" s="33">
        <v>3.9430000000000001</v>
      </c>
      <c r="P24" s="33">
        <v>4.9020000000000001</v>
      </c>
      <c r="Q24" s="33">
        <v>18.606999999999999</v>
      </c>
      <c r="R24" s="33">
        <v>7.5259999999999998</v>
      </c>
      <c r="S24" s="33">
        <v>5.88</v>
      </c>
      <c r="T24" s="33">
        <v>3.1850000000000001</v>
      </c>
      <c r="U24" s="33">
        <v>22.538</v>
      </c>
      <c r="V24" s="33">
        <v>4.9020000000000001</v>
      </c>
      <c r="W24" s="33">
        <v>17.553999999999998</v>
      </c>
      <c r="X24" s="33">
        <v>9999</v>
      </c>
      <c r="Y24" s="33">
        <v>12.407999999999999</v>
      </c>
      <c r="Z24" s="33">
        <v>17.212</v>
      </c>
      <c r="AA24" s="33">
        <v>22</v>
      </c>
      <c r="AB24" s="33">
        <v>30.75</v>
      </c>
      <c r="AC24" s="33">
        <v>109.39100000000001</v>
      </c>
      <c r="AD24" s="33">
        <v>28.300999999999998</v>
      </c>
      <c r="AE24" s="33">
        <v>18.777000000000001</v>
      </c>
      <c r="AF24" s="33">
        <v>40.386000000000003</v>
      </c>
      <c r="AG24" s="33">
        <v>7.01</v>
      </c>
      <c r="AH24" s="33">
        <v>6.1740000000000004</v>
      </c>
      <c r="AI24" s="33">
        <v>6.8490000000000002</v>
      </c>
      <c r="AJ24" s="33">
        <v>7.3579999999999997</v>
      </c>
      <c r="AK24" s="33">
        <v>6.9589999999999996</v>
      </c>
      <c r="AL24" s="33">
        <v>18.39</v>
      </c>
      <c r="AM24" s="33">
        <v>21.692</v>
      </c>
      <c r="AN24" s="33">
        <v>25.527999999999999</v>
      </c>
      <c r="AO24" s="33">
        <v>2.5190000000000001</v>
      </c>
      <c r="AP24" s="33">
        <v>5.8239999999999998</v>
      </c>
      <c r="AQ24" s="33">
        <v>11.787000000000001</v>
      </c>
      <c r="AR24" s="33">
        <v>10.785</v>
      </c>
      <c r="AS24" s="33">
        <v>11.093</v>
      </c>
      <c r="AT24" s="33">
        <v>32.200000000000003</v>
      </c>
      <c r="AU24" s="33">
        <v>109.98</v>
      </c>
      <c r="AV24" s="33">
        <v>5.56</v>
      </c>
      <c r="AW24" s="33">
        <v>1.014</v>
      </c>
      <c r="AX24" s="33">
        <v>39.279000000000003</v>
      </c>
      <c r="AY24" s="33">
        <v>25.934000000000001</v>
      </c>
      <c r="AZ24" s="33">
        <v>52.962000000000003</v>
      </c>
    </row>
    <row r="25" spans="1:52">
      <c r="A25">
        <v>23</v>
      </c>
      <c r="B25" s="33">
        <v>11.039</v>
      </c>
      <c r="C25" s="33">
        <v>23.350999999999999</v>
      </c>
      <c r="D25" s="33">
        <v>12.881</v>
      </c>
      <c r="E25" s="33">
        <v>12.337999999999999</v>
      </c>
      <c r="F25" s="33">
        <v>9.2270000000000003</v>
      </c>
      <c r="G25" s="33">
        <v>14.122999999999999</v>
      </c>
      <c r="H25" s="33">
        <v>10.249000000000001</v>
      </c>
      <c r="I25" s="33">
        <v>12.041</v>
      </c>
      <c r="J25" s="33">
        <v>10.646000000000001</v>
      </c>
      <c r="K25" s="33">
        <v>14.792999999999999</v>
      </c>
      <c r="L25" s="33">
        <v>15.458</v>
      </c>
      <c r="M25" s="33">
        <v>13.282999999999999</v>
      </c>
      <c r="N25" s="33">
        <v>13.24</v>
      </c>
      <c r="O25" s="33">
        <v>13.478999999999999</v>
      </c>
      <c r="P25" s="33">
        <v>14.438000000000001</v>
      </c>
      <c r="Q25" s="33">
        <v>23.24</v>
      </c>
      <c r="R25" s="33">
        <v>14.412000000000001</v>
      </c>
      <c r="S25" s="33">
        <v>13.143000000000001</v>
      </c>
      <c r="T25" s="33">
        <v>11.101000000000001</v>
      </c>
      <c r="U25" s="33">
        <v>32.073999999999998</v>
      </c>
      <c r="V25" s="33">
        <v>14.438000000000001</v>
      </c>
      <c r="W25" s="33">
        <v>32.145000000000003</v>
      </c>
      <c r="X25" s="33">
        <v>12.64</v>
      </c>
      <c r="Y25" s="33">
        <v>9999</v>
      </c>
      <c r="Z25" s="33">
        <v>26.748000000000001</v>
      </c>
      <c r="AA25" s="33">
        <v>31.536000000000001</v>
      </c>
      <c r="AB25" s="33">
        <v>19.885999999999999</v>
      </c>
      <c r="AC25" s="33">
        <v>101.181</v>
      </c>
      <c r="AD25" s="33">
        <v>37.837000000000003</v>
      </c>
      <c r="AE25" s="33">
        <v>27.413</v>
      </c>
      <c r="AF25" s="33">
        <v>49.921999999999997</v>
      </c>
      <c r="AG25" s="33">
        <v>15.073</v>
      </c>
      <c r="AH25" s="33">
        <v>14.497999999999999</v>
      </c>
      <c r="AI25" s="33">
        <v>12.612</v>
      </c>
      <c r="AJ25" s="33">
        <v>13.121</v>
      </c>
      <c r="AK25" s="33">
        <v>15.022</v>
      </c>
      <c r="AL25" s="33">
        <v>10.18</v>
      </c>
      <c r="AM25" s="33">
        <v>26.324999999999999</v>
      </c>
      <c r="AN25" s="33">
        <v>30.387</v>
      </c>
      <c r="AO25" s="33">
        <v>10.891999999999999</v>
      </c>
      <c r="AP25" s="33">
        <v>15.36</v>
      </c>
      <c r="AQ25" s="33">
        <v>1.1779999999999999</v>
      </c>
      <c r="AR25" s="33">
        <v>20.321000000000002</v>
      </c>
      <c r="AS25" s="33">
        <v>23.477</v>
      </c>
      <c r="AT25" s="33">
        <v>23.99</v>
      </c>
      <c r="AU25" s="33">
        <v>101.77</v>
      </c>
      <c r="AV25" s="33">
        <v>17.943999999999999</v>
      </c>
      <c r="AW25" s="33">
        <v>13.36</v>
      </c>
      <c r="AX25" s="33">
        <v>48.814999999999998</v>
      </c>
      <c r="AY25" s="33">
        <v>36.500999999999998</v>
      </c>
      <c r="AZ25" s="33">
        <v>64.704999999999998</v>
      </c>
    </row>
    <row r="26" spans="1:52">
      <c r="A26">
        <v>24</v>
      </c>
      <c r="B26" s="33">
        <v>15.923</v>
      </c>
      <c r="C26" s="33">
        <v>28.234999999999999</v>
      </c>
      <c r="D26" s="33">
        <v>18.433</v>
      </c>
      <c r="E26" s="33">
        <v>17.773</v>
      </c>
      <c r="F26" s="33">
        <v>19.242999999999999</v>
      </c>
      <c r="G26" s="33">
        <v>17.16</v>
      </c>
      <c r="H26" s="33">
        <v>18.536000000000001</v>
      </c>
      <c r="I26" s="33">
        <v>18.324999999999999</v>
      </c>
      <c r="J26" s="33">
        <v>19.896000000000001</v>
      </c>
      <c r="K26" s="33">
        <v>18.652999999999999</v>
      </c>
      <c r="L26" s="33">
        <v>19.071000000000002</v>
      </c>
      <c r="M26" s="33">
        <v>17.731999999999999</v>
      </c>
      <c r="N26" s="33">
        <v>18.035</v>
      </c>
      <c r="O26" s="33">
        <v>17.552</v>
      </c>
      <c r="P26" s="33">
        <v>15.023</v>
      </c>
      <c r="Q26" s="33">
        <v>27.902999999999999</v>
      </c>
      <c r="R26" s="33">
        <v>20.263000000000002</v>
      </c>
      <c r="S26" s="33">
        <v>18.102</v>
      </c>
      <c r="T26" s="33">
        <v>17.399000000000001</v>
      </c>
      <c r="U26" s="33">
        <v>6.9349999999999996</v>
      </c>
      <c r="V26" s="33">
        <v>15.026</v>
      </c>
      <c r="W26" s="33">
        <v>13.656000000000001</v>
      </c>
      <c r="X26" s="33">
        <v>17.524000000000001</v>
      </c>
      <c r="Y26" s="33">
        <v>26.757999999999999</v>
      </c>
      <c r="Z26" s="33">
        <v>9999</v>
      </c>
      <c r="AA26" s="33">
        <v>6.3970000000000002</v>
      </c>
      <c r="AB26" s="33">
        <v>45.1</v>
      </c>
      <c r="AC26" s="33">
        <v>123.741</v>
      </c>
      <c r="AD26" s="33">
        <v>12.698</v>
      </c>
      <c r="AE26" s="33">
        <v>24.166</v>
      </c>
      <c r="AF26" s="33">
        <v>24.783000000000001</v>
      </c>
      <c r="AG26" s="33">
        <v>19.747</v>
      </c>
      <c r="AH26" s="33">
        <v>18.082999999999998</v>
      </c>
      <c r="AI26" s="33">
        <v>19.172000000000001</v>
      </c>
      <c r="AJ26" s="33">
        <v>19.175000000000001</v>
      </c>
      <c r="AK26" s="33">
        <v>19.446999999999999</v>
      </c>
      <c r="AL26" s="33">
        <v>32.74</v>
      </c>
      <c r="AM26" s="33">
        <v>30.991</v>
      </c>
      <c r="AN26" s="33">
        <v>34.826999999999998</v>
      </c>
      <c r="AO26" s="33">
        <v>16.754999999999999</v>
      </c>
      <c r="AP26" s="33">
        <v>15.644</v>
      </c>
      <c r="AQ26" s="33">
        <v>26.137</v>
      </c>
      <c r="AR26" s="33">
        <v>11.778</v>
      </c>
      <c r="AS26" s="33">
        <v>28.361000000000001</v>
      </c>
      <c r="AT26" s="33">
        <v>46.55</v>
      </c>
      <c r="AU26" s="33">
        <v>124.33</v>
      </c>
      <c r="AV26" s="33">
        <v>22.827999999999999</v>
      </c>
      <c r="AW26" s="33">
        <v>18.244</v>
      </c>
      <c r="AX26" s="33">
        <v>26.428999999999998</v>
      </c>
      <c r="AY26" s="33">
        <v>10.331</v>
      </c>
      <c r="AZ26" s="33">
        <v>58.484000000000002</v>
      </c>
    </row>
    <row r="27" spans="1:52">
      <c r="A27">
        <v>25</v>
      </c>
      <c r="B27" s="33">
        <v>20.712</v>
      </c>
      <c r="C27" s="33">
        <v>33.024000000000001</v>
      </c>
      <c r="D27" s="33">
        <v>23.222000000000001</v>
      </c>
      <c r="E27" s="33">
        <v>22.562000000000001</v>
      </c>
      <c r="F27" s="33">
        <v>24.032</v>
      </c>
      <c r="G27" s="33">
        <v>21.949000000000002</v>
      </c>
      <c r="H27" s="33">
        <v>23.324999999999999</v>
      </c>
      <c r="I27" s="33">
        <v>23.114000000000001</v>
      </c>
      <c r="J27" s="33">
        <v>24.684999999999999</v>
      </c>
      <c r="K27" s="33">
        <v>23.442</v>
      </c>
      <c r="L27" s="33">
        <v>23.86</v>
      </c>
      <c r="M27" s="33">
        <v>22.521000000000001</v>
      </c>
      <c r="N27" s="33">
        <v>22.824000000000002</v>
      </c>
      <c r="O27" s="33">
        <v>20.972000000000001</v>
      </c>
      <c r="P27" s="33">
        <v>19.815000000000001</v>
      </c>
      <c r="Q27" s="33">
        <v>32.695</v>
      </c>
      <c r="R27" s="33">
        <v>24.739000000000001</v>
      </c>
      <c r="S27" s="33">
        <v>22.890999999999998</v>
      </c>
      <c r="T27" s="33">
        <v>22.187999999999999</v>
      </c>
      <c r="U27" s="33">
        <v>0.69199999999999995</v>
      </c>
      <c r="V27" s="33">
        <v>19.815000000000001</v>
      </c>
      <c r="W27" s="33">
        <v>18.445</v>
      </c>
      <c r="X27" s="33">
        <v>22.312999999999999</v>
      </c>
      <c r="Y27" s="33">
        <v>31.547000000000001</v>
      </c>
      <c r="Z27" s="33">
        <v>6.3979999999999997</v>
      </c>
      <c r="AA27" s="33">
        <v>9999</v>
      </c>
      <c r="AB27" s="33">
        <v>49.889000000000003</v>
      </c>
      <c r="AC27" s="33">
        <v>128.53</v>
      </c>
      <c r="AD27" s="33">
        <v>11.324999999999999</v>
      </c>
      <c r="AE27" s="33">
        <v>28.954999999999998</v>
      </c>
      <c r="AF27" s="33">
        <v>18.818000000000001</v>
      </c>
      <c r="AG27" s="33">
        <v>24.536000000000001</v>
      </c>
      <c r="AH27" s="33">
        <v>22.872</v>
      </c>
      <c r="AI27" s="33">
        <v>23.960999999999999</v>
      </c>
      <c r="AJ27" s="33">
        <v>23.963999999999999</v>
      </c>
      <c r="AK27" s="33">
        <v>24.484999999999999</v>
      </c>
      <c r="AL27" s="33">
        <v>37.529000000000003</v>
      </c>
      <c r="AM27" s="33">
        <v>35.78</v>
      </c>
      <c r="AN27" s="33">
        <v>39.616</v>
      </c>
      <c r="AO27" s="33">
        <v>21.544</v>
      </c>
      <c r="AP27" s="33">
        <v>20.433</v>
      </c>
      <c r="AQ27" s="33">
        <v>30.925999999999998</v>
      </c>
      <c r="AR27" s="33">
        <v>16.567</v>
      </c>
      <c r="AS27" s="33">
        <v>33.15</v>
      </c>
      <c r="AT27" s="33">
        <v>51.338999999999999</v>
      </c>
      <c r="AU27" s="33">
        <v>129.05199999999999</v>
      </c>
      <c r="AV27" s="33">
        <v>27.617000000000001</v>
      </c>
      <c r="AW27" s="33">
        <v>23.033000000000001</v>
      </c>
      <c r="AX27" s="33">
        <v>31.218</v>
      </c>
      <c r="AY27" s="33">
        <v>8.9580000000000002</v>
      </c>
      <c r="AZ27" s="33">
        <v>63.273000000000003</v>
      </c>
    </row>
    <row r="28" spans="1:52">
      <c r="A28">
        <v>26</v>
      </c>
      <c r="B28" s="33">
        <v>29.263000000000002</v>
      </c>
      <c r="C28" s="33">
        <v>41.575000000000003</v>
      </c>
      <c r="D28" s="33">
        <v>30.082000000000001</v>
      </c>
      <c r="E28" s="33">
        <v>29.539000000000001</v>
      </c>
      <c r="F28" s="33">
        <v>27.451000000000001</v>
      </c>
      <c r="G28" s="33">
        <v>31.324000000000002</v>
      </c>
      <c r="H28" s="33">
        <v>28.472999999999999</v>
      </c>
      <c r="I28" s="33">
        <v>29.242000000000001</v>
      </c>
      <c r="J28" s="33">
        <v>27.847000000000001</v>
      </c>
      <c r="K28" s="33">
        <v>33.017000000000003</v>
      </c>
      <c r="L28" s="33">
        <v>40.265000000000001</v>
      </c>
      <c r="M28" s="33">
        <v>30.484000000000002</v>
      </c>
      <c r="N28" s="33">
        <v>30.440999999999999</v>
      </c>
      <c r="O28" s="33">
        <v>31.702999999999999</v>
      </c>
      <c r="P28" s="33">
        <v>32.661999999999999</v>
      </c>
      <c r="Q28" s="33">
        <v>39.256999999999998</v>
      </c>
      <c r="R28" s="33">
        <v>32.636000000000003</v>
      </c>
      <c r="S28" s="33">
        <v>30.344000000000001</v>
      </c>
      <c r="T28" s="33">
        <v>29.324999999999999</v>
      </c>
      <c r="U28" s="33">
        <v>50.298000000000002</v>
      </c>
      <c r="V28" s="33">
        <v>32.661999999999999</v>
      </c>
      <c r="W28" s="33">
        <v>50.369</v>
      </c>
      <c r="X28" s="33">
        <v>30.864000000000001</v>
      </c>
      <c r="Y28" s="33">
        <v>19.891999999999999</v>
      </c>
      <c r="Z28" s="33">
        <v>44.972000000000001</v>
      </c>
      <c r="AA28" s="33">
        <v>49.76</v>
      </c>
      <c r="AB28" s="33">
        <v>9999</v>
      </c>
      <c r="AC28" s="33">
        <v>115.441</v>
      </c>
      <c r="AD28" s="33">
        <v>34.28</v>
      </c>
      <c r="AE28" s="33">
        <v>43.204999999999998</v>
      </c>
      <c r="AF28" s="33">
        <v>40.027000000000001</v>
      </c>
      <c r="AG28" s="33">
        <v>33.296999999999997</v>
      </c>
      <c r="AH28" s="33">
        <v>31.699000000000002</v>
      </c>
      <c r="AI28" s="33">
        <v>27.213000000000001</v>
      </c>
      <c r="AJ28" s="33">
        <v>30.321999999999999</v>
      </c>
      <c r="AK28" s="33">
        <v>33.246000000000002</v>
      </c>
      <c r="AL28" s="33">
        <v>20.731000000000002</v>
      </c>
      <c r="AM28" s="33">
        <v>42.341999999999999</v>
      </c>
      <c r="AN28" s="33">
        <v>46.404000000000003</v>
      </c>
      <c r="AO28" s="33">
        <v>29.116</v>
      </c>
      <c r="AP28" s="33">
        <v>31.917999999999999</v>
      </c>
      <c r="AQ28" s="33">
        <v>18.72</v>
      </c>
      <c r="AR28" s="33">
        <v>38.545000000000002</v>
      </c>
      <c r="AS28" s="33">
        <v>41.701000000000001</v>
      </c>
      <c r="AT28" s="33">
        <v>38.25</v>
      </c>
      <c r="AU28" s="33">
        <v>116.03</v>
      </c>
      <c r="AV28" s="33">
        <v>36.167999999999999</v>
      </c>
      <c r="AW28" s="33">
        <v>31.584</v>
      </c>
      <c r="AX28" s="33">
        <v>67.039000000000001</v>
      </c>
      <c r="AY28" s="33">
        <v>36.767000000000003</v>
      </c>
      <c r="AZ28" s="33">
        <v>82.929000000000002</v>
      </c>
    </row>
    <row r="29" spans="1:52">
      <c r="A29">
        <v>27</v>
      </c>
      <c r="B29" s="33">
        <v>107.893</v>
      </c>
      <c r="C29" s="33">
        <v>120.205</v>
      </c>
      <c r="D29" s="33">
        <v>103.035</v>
      </c>
      <c r="E29" s="33">
        <v>102.492</v>
      </c>
      <c r="F29" s="33">
        <v>106.081</v>
      </c>
      <c r="G29" s="33">
        <v>104.277</v>
      </c>
      <c r="H29" s="33">
        <v>107.10299999999999</v>
      </c>
      <c r="I29" s="33">
        <v>102.19499999999999</v>
      </c>
      <c r="J29" s="33">
        <v>100.8</v>
      </c>
      <c r="K29" s="33">
        <v>111.64700000000001</v>
      </c>
      <c r="L29" s="33">
        <v>112.312</v>
      </c>
      <c r="M29" s="33">
        <v>103.437</v>
      </c>
      <c r="N29" s="33">
        <v>103.39400000000001</v>
      </c>
      <c r="O29" s="33">
        <v>110.333</v>
      </c>
      <c r="P29" s="33">
        <v>111.292</v>
      </c>
      <c r="Q29" s="33">
        <v>117.86199999999999</v>
      </c>
      <c r="R29" s="33">
        <v>111.26600000000001</v>
      </c>
      <c r="S29" s="33">
        <v>103.297</v>
      </c>
      <c r="T29" s="33">
        <v>107.955</v>
      </c>
      <c r="U29" s="33">
        <v>128.928</v>
      </c>
      <c r="V29" s="33">
        <v>111.292</v>
      </c>
      <c r="W29" s="33">
        <v>128.999</v>
      </c>
      <c r="X29" s="33">
        <v>109.494</v>
      </c>
      <c r="Y29" s="33">
        <v>100.955</v>
      </c>
      <c r="Z29" s="33">
        <v>123.602</v>
      </c>
      <c r="AA29" s="33">
        <v>128.38999999999999</v>
      </c>
      <c r="AB29" s="33">
        <v>115.27</v>
      </c>
      <c r="AC29" s="33">
        <v>9999</v>
      </c>
      <c r="AD29" s="33">
        <v>134.691</v>
      </c>
      <c r="AE29" s="33">
        <v>121.81</v>
      </c>
      <c r="AF29" s="33">
        <v>146.77600000000001</v>
      </c>
      <c r="AG29" s="33">
        <v>111.92700000000001</v>
      </c>
      <c r="AH29" s="33">
        <v>104.652</v>
      </c>
      <c r="AI29" s="33">
        <v>102.76600000000001</v>
      </c>
      <c r="AJ29" s="33">
        <v>103.27500000000001</v>
      </c>
      <c r="AK29" s="33">
        <v>111.876</v>
      </c>
      <c r="AL29" s="33">
        <v>93.363</v>
      </c>
      <c r="AM29" s="33">
        <v>120.947</v>
      </c>
      <c r="AN29" s="33">
        <v>125.009</v>
      </c>
      <c r="AO29" s="33">
        <v>107.746</v>
      </c>
      <c r="AP29" s="33">
        <v>104.871</v>
      </c>
      <c r="AQ29" s="33">
        <v>100.334</v>
      </c>
      <c r="AR29" s="33">
        <v>117.175</v>
      </c>
      <c r="AS29" s="33">
        <v>120.331</v>
      </c>
      <c r="AT29" s="33">
        <v>83.021000000000001</v>
      </c>
      <c r="AU29" s="33">
        <v>0.58799999999999997</v>
      </c>
      <c r="AV29" s="33">
        <v>114.798</v>
      </c>
      <c r="AW29" s="33">
        <v>110.214</v>
      </c>
      <c r="AX29" s="33">
        <v>145.66900000000001</v>
      </c>
      <c r="AY29" s="33">
        <v>132.32400000000001</v>
      </c>
      <c r="AZ29" s="33">
        <v>161.559</v>
      </c>
    </row>
    <row r="30" spans="1:52">
      <c r="A30">
        <v>28</v>
      </c>
      <c r="B30" s="33">
        <v>27.013000000000002</v>
      </c>
      <c r="C30" s="33">
        <v>39.325000000000003</v>
      </c>
      <c r="D30" s="33">
        <v>29.523</v>
      </c>
      <c r="E30" s="33">
        <v>28.863</v>
      </c>
      <c r="F30" s="33">
        <v>30.332999999999998</v>
      </c>
      <c r="G30" s="33">
        <v>28.25</v>
      </c>
      <c r="H30" s="33">
        <v>29.626000000000001</v>
      </c>
      <c r="I30" s="33">
        <v>29.414999999999999</v>
      </c>
      <c r="J30" s="33">
        <v>30.986000000000001</v>
      </c>
      <c r="K30" s="33">
        <v>29.742999999999999</v>
      </c>
      <c r="L30" s="33">
        <v>30.161000000000001</v>
      </c>
      <c r="M30" s="33">
        <v>28.821999999999999</v>
      </c>
      <c r="N30" s="33">
        <v>29.125</v>
      </c>
      <c r="O30" s="33">
        <v>28.641999999999999</v>
      </c>
      <c r="P30" s="33">
        <v>26.116</v>
      </c>
      <c r="Q30" s="33">
        <v>38.996000000000002</v>
      </c>
      <c r="R30" s="33">
        <v>31.353000000000002</v>
      </c>
      <c r="S30" s="33">
        <v>29.192</v>
      </c>
      <c r="T30" s="33">
        <v>28.489000000000001</v>
      </c>
      <c r="U30" s="33">
        <v>11.863</v>
      </c>
      <c r="V30" s="33">
        <v>26.116</v>
      </c>
      <c r="W30" s="33">
        <v>24.745999999999999</v>
      </c>
      <c r="X30" s="33">
        <v>28.614000000000001</v>
      </c>
      <c r="Y30" s="33">
        <v>37.847999999999999</v>
      </c>
      <c r="Z30" s="33">
        <v>12.699</v>
      </c>
      <c r="AA30" s="33">
        <v>11.324999999999999</v>
      </c>
      <c r="AB30" s="33">
        <v>34.283999999999999</v>
      </c>
      <c r="AC30" s="33">
        <v>134.83099999999999</v>
      </c>
      <c r="AD30" s="33">
        <v>9999</v>
      </c>
      <c r="AE30" s="33">
        <v>35.256</v>
      </c>
      <c r="AF30" s="33">
        <v>14.218999999999999</v>
      </c>
      <c r="AG30" s="33">
        <v>30.837</v>
      </c>
      <c r="AH30" s="33">
        <v>29.172999999999998</v>
      </c>
      <c r="AI30" s="33">
        <v>30.262</v>
      </c>
      <c r="AJ30" s="33">
        <v>30.265000000000001</v>
      </c>
      <c r="AK30" s="33">
        <v>30.472999999999999</v>
      </c>
      <c r="AL30" s="33">
        <v>43.83</v>
      </c>
      <c r="AM30" s="33">
        <v>42.081000000000003</v>
      </c>
      <c r="AN30" s="33">
        <v>45.917000000000002</v>
      </c>
      <c r="AO30" s="33">
        <v>27.844999999999999</v>
      </c>
      <c r="AP30" s="33">
        <v>26.734000000000002</v>
      </c>
      <c r="AQ30" s="33">
        <v>37.226999999999997</v>
      </c>
      <c r="AR30" s="33">
        <v>22.867999999999999</v>
      </c>
      <c r="AS30" s="33">
        <v>39.451000000000001</v>
      </c>
      <c r="AT30" s="33">
        <v>57.64</v>
      </c>
      <c r="AU30" s="33">
        <v>135.41999999999999</v>
      </c>
      <c r="AV30" s="33">
        <v>33.917999999999999</v>
      </c>
      <c r="AW30" s="33">
        <v>29.334</v>
      </c>
      <c r="AX30" s="33">
        <v>37.518999999999998</v>
      </c>
      <c r="AY30" s="33">
        <v>4.6210000000000004</v>
      </c>
      <c r="AZ30" s="33">
        <v>69.573999999999998</v>
      </c>
    </row>
    <row r="31" spans="1:52">
      <c r="A31">
        <v>29</v>
      </c>
      <c r="B31" s="33">
        <v>18.452999999999999</v>
      </c>
      <c r="C31" s="33">
        <v>30.765000000000001</v>
      </c>
      <c r="D31" s="33">
        <v>16.704000000000001</v>
      </c>
      <c r="E31" s="33">
        <v>16.917000000000002</v>
      </c>
      <c r="F31" s="33">
        <v>20.786999999999999</v>
      </c>
      <c r="G31" s="33">
        <v>15.381</v>
      </c>
      <c r="H31" s="33">
        <v>19.341000000000001</v>
      </c>
      <c r="I31" s="33">
        <v>22.734999999999999</v>
      </c>
      <c r="J31" s="33">
        <v>17.152000000000001</v>
      </c>
      <c r="K31" s="33">
        <v>14.827999999999999</v>
      </c>
      <c r="L31" s="33">
        <v>13.53</v>
      </c>
      <c r="M31" s="33">
        <v>15.307</v>
      </c>
      <c r="N31" s="33">
        <v>15.256</v>
      </c>
      <c r="O31" s="33">
        <v>18.344999999999999</v>
      </c>
      <c r="P31" s="33">
        <v>17.507999999999999</v>
      </c>
      <c r="Q31" s="33">
        <v>10.18</v>
      </c>
      <c r="R31" s="33">
        <v>15.114000000000001</v>
      </c>
      <c r="S31" s="33">
        <v>16.25</v>
      </c>
      <c r="T31" s="33">
        <v>18.204000000000001</v>
      </c>
      <c r="U31" s="33">
        <v>29.542999999999999</v>
      </c>
      <c r="V31" s="33">
        <v>17.507999999999999</v>
      </c>
      <c r="W31" s="33">
        <v>16.507000000000001</v>
      </c>
      <c r="X31" s="33">
        <v>26.033999999999999</v>
      </c>
      <c r="Y31" s="33">
        <v>27.385000000000002</v>
      </c>
      <c r="Z31" s="33">
        <v>24.216999999999999</v>
      </c>
      <c r="AA31" s="33">
        <v>29.004999999999999</v>
      </c>
      <c r="AB31" s="33">
        <v>43.613</v>
      </c>
      <c r="AC31" s="33">
        <v>116.583</v>
      </c>
      <c r="AD31" s="33">
        <v>35.305999999999997</v>
      </c>
      <c r="AE31" s="33">
        <v>9999</v>
      </c>
      <c r="AF31" s="33">
        <v>47.390999999999998</v>
      </c>
      <c r="AG31" s="33">
        <v>14.598000000000001</v>
      </c>
      <c r="AH31" s="33">
        <v>15.339</v>
      </c>
      <c r="AI31" s="33">
        <v>17.081</v>
      </c>
      <c r="AJ31" s="33">
        <v>16.431000000000001</v>
      </c>
      <c r="AK31" s="33">
        <v>14.547000000000001</v>
      </c>
      <c r="AL31" s="33">
        <v>31.219000000000001</v>
      </c>
      <c r="AM31" s="33">
        <v>13.265000000000001</v>
      </c>
      <c r="AN31" s="33">
        <v>17.100999999999999</v>
      </c>
      <c r="AO31" s="33">
        <v>17.547999999999998</v>
      </c>
      <c r="AP31" s="33">
        <v>15.196</v>
      </c>
      <c r="AQ31" s="33">
        <v>26.763999999999999</v>
      </c>
      <c r="AR31" s="33">
        <v>20.172999999999998</v>
      </c>
      <c r="AS31" s="33">
        <v>30.890999999999998</v>
      </c>
      <c r="AT31" s="33">
        <v>45.029000000000003</v>
      </c>
      <c r="AU31" s="33">
        <v>117.172</v>
      </c>
      <c r="AV31" s="33">
        <v>25.358000000000001</v>
      </c>
      <c r="AW31" s="33">
        <v>20.774000000000001</v>
      </c>
      <c r="AX31" s="33">
        <v>39.098999999999997</v>
      </c>
      <c r="AY31" s="33">
        <v>33.975000000000001</v>
      </c>
      <c r="AZ31" s="33">
        <v>41.017000000000003</v>
      </c>
    </row>
    <row r="32" spans="1:52">
      <c r="A32">
        <v>30</v>
      </c>
      <c r="B32" s="33">
        <v>39.097999999999999</v>
      </c>
      <c r="C32" s="33">
        <v>51.41</v>
      </c>
      <c r="D32" s="33">
        <v>41.607999999999997</v>
      </c>
      <c r="E32" s="33">
        <v>40.948</v>
      </c>
      <c r="F32" s="33">
        <v>42.417999999999999</v>
      </c>
      <c r="G32" s="33">
        <v>40.335000000000001</v>
      </c>
      <c r="H32" s="33">
        <v>41.710999999999999</v>
      </c>
      <c r="I32" s="33">
        <v>41.5</v>
      </c>
      <c r="J32" s="33">
        <v>43.070999999999998</v>
      </c>
      <c r="K32" s="33">
        <v>41.828000000000003</v>
      </c>
      <c r="L32" s="33">
        <v>42.246000000000002</v>
      </c>
      <c r="M32" s="33">
        <v>40.906999999999996</v>
      </c>
      <c r="N32" s="33">
        <v>41.21</v>
      </c>
      <c r="O32" s="33">
        <v>40.726999999999997</v>
      </c>
      <c r="P32" s="33">
        <v>38.201000000000001</v>
      </c>
      <c r="Q32" s="33">
        <v>51.081000000000003</v>
      </c>
      <c r="R32" s="33">
        <v>43.438000000000002</v>
      </c>
      <c r="S32" s="33">
        <v>41.277000000000001</v>
      </c>
      <c r="T32" s="33">
        <v>40.573999999999998</v>
      </c>
      <c r="U32" s="33">
        <v>18.126000000000001</v>
      </c>
      <c r="V32" s="33">
        <v>38.201000000000001</v>
      </c>
      <c r="W32" s="33">
        <v>36.831000000000003</v>
      </c>
      <c r="X32" s="33">
        <v>40.698999999999998</v>
      </c>
      <c r="Y32" s="33">
        <v>49.933</v>
      </c>
      <c r="Z32" s="33">
        <v>24.783999999999999</v>
      </c>
      <c r="AA32" s="33">
        <v>18.818000000000001</v>
      </c>
      <c r="AB32" s="33">
        <v>40.030999999999999</v>
      </c>
      <c r="AC32" s="33">
        <v>146.916</v>
      </c>
      <c r="AD32" s="33">
        <v>14.218999999999999</v>
      </c>
      <c r="AE32" s="33">
        <v>47.341000000000001</v>
      </c>
      <c r="AF32" s="33">
        <v>9999</v>
      </c>
      <c r="AG32" s="33">
        <v>42.921999999999997</v>
      </c>
      <c r="AH32" s="33">
        <v>41.258000000000003</v>
      </c>
      <c r="AI32" s="33">
        <v>42.347000000000001</v>
      </c>
      <c r="AJ32" s="33">
        <v>42.35</v>
      </c>
      <c r="AK32" s="33">
        <v>42.871000000000002</v>
      </c>
      <c r="AL32" s="33">
        <v>55.914999999999999</v>
      </c>
      <c r="AM32" s="33">
        <v>54.165999999999997</v>
      </c>
      <c r="AN32" s="33">
        <v>58.002000000000002</v>
      </c>
      <c r="AO32" s="33">
        <v>39.93</v>
      </c>
      <c r="AP32" s="33">
        <v>38.819000000000003</v>
      </c>
      <c r="AQ32" s="33">
        <v>49.311999999999998</v>
      </c>
      <c r="AR32" s="33">
        <v>34.953000000000003</v>
      </c>
      <c r="AS32" s="33">
        <v>51.536000000000001</v>
      </c>
      <c r="AT32" s="33">
        <v>69.724999999999994</v>
      </c>
      <c r="AU32" s="33">
        <v>147.505</v>
      </c>
      <c r="AV32" s="33">
        <v>46.003</v>
      </c>
      <c r="AW32" s="33">
        <v>41.418999999999997</v>
      </c>
      <c r="AX32" s="33">
        <v>49.603999999999999</v>
      </c>
      <c r="AY32" s="33">
        <v>16.706</v>
      </c>
      <c r="AZ32" s="33">
        <v>81.659000000000006</v>
      </c>
    </row>
    <row r="33" spans="1:52">
      <c r="A33">
        <v>31</v>
      </c>
      <c r="B33" s="33">
        <v>6.9420000000000002</v>
      </c>
      <c r="C33" s="33">
        <v>19.254000000000001</v>
      </c>
      <c r="D33" s="33">
        <v>2.105</v>
      </c>
      <c r="E33" s="33">
        <v>2.504</v>
      </c>
      <c r="F33" s="33">
        <v>7.415</v>
      </c>
      <c r="G33" s="33">
        <v>2.6709999999999998</v>
      </c>
      <c r="H33" s="33">
        <v>5.0289999999999999</v>
      </c>
      <c r="I33" s="33">
        <v>3.056</v>
      </c>
      <c r="J33" s="33">
        <v>2.5529999999999999</v>
      </c>
      <c r="K33" s="33">
        <v>0.22900000000000001</v>
      </c>
      <c r="L33" s="33">
        <v>1.518</v>
      </c>
      <c r="M33" s="33">
        <v>1.8129999999999999</v>
      </c>
      <c r="N33" s="33">
        <v>2.161</v>
      </c>
      <c r="O33" s="33">
        <v>7.5309999999999997</v>
      </c>
      <c r="P33" s="33">
        <v>6.4930000000000003</v>
      </c>
      <c r="Q33" s="33">
        <v>10.936</v>
      </c>
      <c r="R33" s="33">
        <v>0.97199999999999998</v>
      </c>
      <c r="S33" s="33">
        <v>2.33</v>
      </c>
      <c r="T33" s="33">
        <v>5.4429999999999996</v>
      </c>
      <c r="U33" s="33">
        <v>23.91</v>
      </c>
      <c r="V33" s="33">
        <v>6.4930000000000003</v>
      </c>
      <c r="W33" s="33">
        <v>13.988</v>
      </c>
      <c r="X33" s="33">
        <v>8.5429999999999993</v>
      </c>
      <c r="Y33" s="33">
        <v>14.323</v>
      </c>
      <c r="Z33" s="33">
        <v>18.584</v>
      </c>
      <c r="AA33" s="33">
        <v>23.372</v>
      </c>
      <c r="AB33" s="33">
        <v>30.998999999999999</v>
      </c>
      <c r="AC33" s="33">
        <v>103.979</v>
      </c>
      <c r="AD33" s="33">
        <v>29.672999999999998</v>
      </c>
      <c r="AE33" s="33">
        <v>13.506</v>
      </c>
      <c r="AF33" s="33">
        <v>41.758000000000003</v>
      </c>
      <c r="AG33" s="33">
        <v>9999</v>
      </c>
      <c r="AH33" s="33">
        <v>0.74</v>
      </c>
      <c r="AI33" s="33">
        <v>2.4820000000000002</v>
      </c>
      <c r="AJ33" s="33">
        <v>1.8320000000000001</v>
      </c>
      <c r="AK33" s="33">
        <v>0.50700000000000001</v>
      </c>
      <c r="AL33" s="33">
        <v>18.605</v>
      </c>
      <c r="AM33" s="33">
        <v>14.021000000000001</v>
      </c>
      <c r="AN33" s="33">
        <v>17.856999999999999</v>
      </c>
      <c r="AO33" s="33">
        <v>5.9379999999999997</v>
      </c>
      <c r="AP33" s="33">
        <v>2.9039999999999999</v>
      </c>
      <c r="AQ33" s="33">
        <v>13.702</v>
      </c>
      <c r="AR33" s="33">
        <v>13.919</v>
      </c>
      <c r="AS33" s="33">
        <v>19.38</v>
      </c>
      <c r="AT33" s="33">
        <v>32.414999999999999</v>
      </c>
      <c r="AU33" s="33">
        <v>104.568</v>
      </c>
      <c r="AV33" s="33">
        <v>13.847</v>
      </c>
      <c r="AW33" s="33">
        <v>9.2629999999999999</v>
      </c>
      <c r="AX33" s="33">
        <v>36.58</v>
      </c>
      <c r="AY33" s="33">
        <v>27.306000000000001</v>
      </c>
      <c r="AZ33" s="33">
        <v>47.691000000000003</v>
      </c>
    </row>
    <row r="34" spans="1:52">
      <c r="A34">
        <v>32</v>
      </c>
      <c r="B34" s="33">
        <v>6.2009999999999996</v>
      </c>
      <c r="C34" s="33">
        <v>18.513000000000002</v>
      </c>
      <c r="D34" s="33">
        <v>1.3640000000000001</v>
      </c>
      <c r="E34" s="33">
        <v>1.7629999999999999</v>
      </c>
      <c r="F34" s="33">
        <v>6.6740000000000004</v>
      </c>
      <c r="G34" s="33">
        <v>1.93</v>
      </c>
      <c r="H34" s="33">
        <v>4.2880000000000003</v>
      </c>
      <c r="I34" s="33">
        <v>2.3149999999999999</v>
      </c>
      <c r="J34" s="33">
        <v>1.8120000000000001</v>
      </c>
      <c r="K34" s="33">
        <v>1.363</v>
      </c>
      <c r="L34" s="33">
        <v>3.363</v>
      </c>
      <c r="M34" s="33">
        <v>1.0720000000000001</v>
      </c>
      <c r="N34" s="33">
        <v>1.42</v>
      </c>
      <c r="O34" s="33">
        <v>6.79</v>
      </c>
      <c r="P34" s="33">
        <v>6.6920000000000002</v>
      </c>
      <c r="Q34" s="33">
        <v>12.781000000000001</v>
      </c>
      <c r="R34" s="33">
        <v>1.1619999999999999</v>
      </c>
      <c r="S34" s="33">
        <v>1.589</v>
      </c>
      <c r="T34" s="33">
        <v>4.702</v>
      </c>
      <c r="U34" s="33">
        <v>24.109000000000002</v>
      </c>
      <c r="V34" s="33">
        <v>6.6920000000000002</v>
      </c>
      <c r="W34" s="33">
        <v>15.48</v>
      </c>
      <c r="X34" s="33">
        <v>7.8019999999999996</v>
      </c>
      <c r="Y34" s="33">
        <v>13.582000000000001</v>
      </c>
      <c r="Z34" s="33">
        <v>18.783000000000001</v>
      </c>
      <c r="AA34" s="33">
        <v>23.571000000000002</v>
      </c>
      <c r="AB34" s="33">
        <v>30.257999999999999</v>
      </c>
      <c r="AC34" s="33">
        <v>103.238</v>
      </c>
      <c r="AD34" s="33">
        <v>29.872</v>
      </c>
      <c r="AE34" s="33">
        <v>14.459</v>
      </c>
      <c r="AF34" s="33">
        <v>41.957000000000001</v>
      </c>
      <c r="AG34" s="33">
        <v>2.7120000000000002</v>
      </c>
      <c r="AH34" s="33">
        <v>9999</v>
      </c>
      <c r="AI34" s="33">
        <v>1.7410000000000001</v>
      </c>
      <c r="AJ34" s="33">
        <v>1.091</v>
      </c>
      <c r="AK34" s="33">
        <v>2.661</v>
      </c>
      <c r="AL34" s="33">
        <v>17.864000000000001</v>
      </c>
      <c r="AM34" s="33">
        <v>15.866</v>
      </c>
      <c r="AN34" s="33">
        <v>23.814</v>
      </c>
      <c r="AO34" s="33">
        <v>5.1970000000000001</v>
      </c>
      <c r="AP34" s="33">
        <v>3.4020000000000001</v>
      </c>
      <c r="AQ34" s="33">
        <v>12.961</v>
      </c>
      <c r="AR34" s="33">
        <v>14.118</v>
      </c>
      <c r="AS34" s="33">
        <v>18.638999999999999</v>
      </c>
      <c r="AT34" s="33">
        <v>31.673999999999999</v>
      </c>
      <c r="AU34" s="33">
        <v>103.827</v>
      </c>
      <c r="AV34" s="33">
        <v>13.106</v>
      </c>
      <c r="AW34" s="33">
        <v>8.5220000000000002</v>
      </c>
      <c r="AX34" s="33">
        <v>40.85</v>
      </c>
      <c r="AY34" s="33">
        <v>27.504999999999999</v>
      </c>
      <c r="AZ34" s="33">
        <v>48.643999999999998</v>
      </c>
    </row>
    <row r="35" spans="1:52">
      <c r="A35">
        <v>33</v>
      </c>
      <c r="B35" s="33">
        <v>5.2389999999999999</v>
      </c>
      <c r="C35" s="33">
        <v>17.550999999999998</v>
      </c>
      <c r="D35" s="33">
        <v>1.1539999999999999</v>
      </c>
      <c r="E35" s="33">
        <v>1.5529999999999999</v>
      </c>
      <c r="F35" s="33">
        <v>5.7220000000000004</v>
      </c>
      <c r="G35" s="33">
        <v>1.8009999999999999</v>
      </c>
      <c r="H35" s="33">
        <v>3.3260000000000001</v>
      </c>
      <c r="I35" s="33">
        <v>2.105</v>
      </c>
      <c r="J35" s="33">
        <v>0.85</v>
      </c>
      <c r="K35" s="33">
        <v>2.298</v>
      </c>
      <c r="L35" s="33">
        <v>3.5209999999999999</v>
      </c>
      <c r="M35" s="33">
        <v>1.3480000000000001</v>
      </c>
      <c r="N35" s="33">
        <v>1.3120000000000001</v>
      </c>
      <c r="O35" s="33">
        <v>5.8280000000000003</v>
      </c>
      <c r="P35" s="33">
        <v>6.319</v>
      </c>
      <c r="Q35" s="33">
        <v>17.634</v>
      </c>
      <c r="R35" s="33">
        <v>2.0630000000000002</v>
      </c>
      <c r="S35" s="33">
        <v>1.379</v>
      </c>
      <c r="T35" s="33">
        <v>3.74</v>
      </c>
      <c r="U35" s="33">
        <v>23.736000000000001</v>
      </c>
      <c r="V35" s="33">
        <v>6.319</v>
      </c>
      <c r="W35" s="33">
        <v>16.149999999999999</v>
      </c>
      <c r="X35" s="33">
        <v>6.84</v>
      </c>
      <c r="Y35" s="33">
        <v>12.62</v>
      </c>
      <c r="Z35" s="33">
        <v>18.41</v>
      </c>
      <c r="AA35" s="33">
        <v>24.234000000000002</v>
      </c>
      <c r="AB35" s="33">
        <v>29.295999999999999</v>
      </c>
      <c r="AC35" s="33">
        <v>109.07</v>
      </c>
      <c r="AD35" s="33">
        <v>29.498999999999999</v>
      </c>
      <c r="AE35" s="33">
        <v>15.706</v>
      </c>
      <c r="AF35" s="33">
        <v>41.584000000000003</v>
      </c>
      <c r="AG35" s="33">
        <v>2.87</v>
      </c>
      <c r="AH35" s="33">
        <v>1.885</v>
      </c>
      <c r="AI35" s="33">
        <v>9999</v>
      </c>
      <c r="AJ35" s="33">
        <v>0.50800000000000001</v>
      </c>
      <c r="AK35" s="33">
        <v>2.819</v>
      </c>
      <c r="AL35" s="33">
        <v>16.902000000000001</v>
      </c>
      <c r="AM35" s="33">
        <v>20.719000000000001</v>
      </c>
      <c r="AN35" s="33">
        <v>24.780999999999999</v>
      </c>
      <c r="AO35" s="33">
        <v>4.2350000000000003</v>
      </c>
      <c r="AP35" s="33">
        <v>3.8239999999999998</v>
      </c>
      <c r="AQ35" s="33">
        <v>11.999000000000001</v>
      </c>
      <c r="AR35" s="33">
        <v>13.744999999999999</v>
      </c>
      <c r="AS35" s="33">
        <v>17.677</v>
      </c>
      <c r="AT35" s="33">
        <v>30.712</v>
      </c>
      <c r="AU35" s="33">
        <v>102.86499999999999</v>
      </c>
      <c r="AV35" s="33">
        <v>12.144</v>
      </c>
      <c r="AW35" s="33">
        <v>7.56</v>
      </c>
      <c r="AX35" s="33">
        <v>40.476999999999997</v>
      </c>
      <c r="AY35" s="33">
        <v>27.132000000000001</v>
      </c>
      <c r="AZ35" s="33">
        <v>49.890999999999998</v>
      </c>
    </row>
    <row r="36" spans="1:52">
      <c r="A36">
        <v>34</v>
      </c>
      <c r="B36" s="33">
        <v>5.6050000000000004</v>
      </c>
      <c r="C36" s="33">
        <v>17.917000000000002</v>
      </c>
      <c r="D36" s="33">
        <v>1.768</v>
      </c>
      <c r="E36" s="33">
        <v>2.1669999999999998</v>
      </c>
      <c r="F36" s="33">
        <v>6.0780000000000003</v>
      </c>
      <c r="G36" s="33">
        <v>2.3340000000000001</v>
      </c>
      <c r="H36" s="33">
        <v>3.6920000000000002</v>
      </c>
      <c r="I36" s="33">
        <v>2.7189999999999999</v>
      </c>
      <c r="J36" s="33">
        <v>1.216</v>
      </c>
      <c r="K36" s="33">
        <v>2.032</v>
      </c>
      <c r="L36" s="33">
        <v>3.1949999999999998</v>
      </c>
      <c r="M36" s="33">
        <v>1.476</v>
      </c>
      <c r="N36" s="33">
        <v>1.8240000000000001</v>
      </c>
      <c r="O36" s="33">
        <v>6.194</v>
      </c>
      <c r="P36" s="33">
        <v>7.0960000000000001</v>
      </c>
      <c r="Q36" s="33">
        <v>12.673</v>
      </c>
      <c r="R36" s="33">
        <v>1.7969999999999999</v>
      </c>
      <c r="S36" s="33">
        <v>1.9930000000000001</v>
      </c>
      <c r="T36" s="33">
        <v>4.1059999999999999</v>
      </c>
      <c r="U36" s="33">
        <v>25.548999999999999</v>
      </c>
      <c r="V36" s="33">
        <v>7.0960000000000001</v>
      </c>
      <c r="W36" s="33">
        <v>15.884</v>
      </c>
      <c r="X36" s="33">
        <v>7.2060000000000004</v>
      </c>
      <c r="Y36" s="33">
        <v>12.986000000000001</v>
      </c>
      <c r="Z36" s="33">
        <v>19.187000000000001</v>
      </c>
      <c r="AA36" s="33">
        <v>23.975000000000001</v>
      </c>
      <c r="AB36" s="33">
        <v>29.661999999999999</v>
      </c>
      <c r="AC36" s="33">
        <v>102.642</v>
      </c>
      <c r="AD36" s="33">
        <v>30.276</v>
      </c>
      <c r="AE36" s="33">
        <v>15.44</v>
      </c>
      <c r="AF36" s="33">
        <v>42.360999999999997</v>
      </c>
      <c r="AG36" s="33">
        <v>2.6040000000000001</v>
      </c>
      <c r="AH36" s="33">
        <v>1.619</v>
      </c>
      <c r="AI36" s="33">
        <v>1.145</v>
      </c>
      <c r="AJ36" s="33">
        <v>9999</v>
      </c>
      <c r="AK36" s="33">
        <v>2.5529999999999999</v>
      </c>
      <c r="AL36" s="33">
        <v>17.268000000000001</v>
      </c>
      <c r="AM36" s="33">
        <v>15.757999999999999</v>
      </c>
      <c r="AN36" s="33">
        <v>25.146999999999998</v>
      </c>
      <c r="AO36" s="33">
        <v>4.601</v>
      </c>
      <c r="AP36" s="33">
        <v>3.806</v>
      </c>
      <c r="AQ36" s="33">
        <v>12.365</v>
      </c>
      <c r="AR36" s="33">
        <v>14.587</v>
      </c>
      <c r="AS36" s="33">
        <v>18.042999999999999</v>
      </c>
      <c r="AT36" s="33">
        <v>31.077999999999999</v>
      </c>
      <c r="AU36" s="33">
        <v>103.23099999999999</v>
      </c>
      <c r="AV36" s="33">
        <v>12.51</v>
      </c>
      <c r="AW36" s="33">
        <v>7.9260000000000002</v>
      </c>
      <c r="AX36" s="33">
        <v>41.253999999999998</v>
      </c>
      <c r="AY36" s="33">
        <v>27.908999999999999</v>
      </c>
      <c r="AZ36" s="33">
        <v>49.625</v>
      </c>
    </row>
    <row r="37" spans="1:52">
      <c r="A37">
        <v>35</v>
      </c>
      <c r="B37" s="33">
        <v>6.9939999999999998</v>
      </c>
      <c r="C37" s="33">
        <v>19.306000000000001</v>
      </c>
      <c r="D37" s="33">
        <v>2.157</v>
      </c>
      <c r="E37" s="33">
        <v>2.556</v>
      </c>
      <c r="F37" s="33">
        <v>7.4669999999999996</v>
      </c>
      <c r="G37" s="33">
        <v>2.7229999999999999</v>
      </c>
      <c r="H37" s="33">
        <v>5.0810000000000004</v>
      </c>
      <c r="I37" s="33">
        <v>3.1080000000000001</v>
      </c>
      <c r="J37" s="33">
        <v>2.605</v>
      </c>
      <c r="K37" s="33">
        <v>0.28100000000000003</v>
      </c>
      <c r="L37" s="33">
        <v>1.57</v>
      </c>
      <c r="M37" s="33">
        <v>1.865</v>
      </c>
      <c r="N37" s="33">
        <v>2.2130000000000001</v>
      </c>
      <c r="O37" s="33">
        <v>7.5830000000000002</v>
      </c>
      <c r="P37" s="33">
        <v>6.5449999999999999</v>
      </c>
      <c r="Q37" s="33">
        <v>10.988</v>
      </c>
      <c r="R37" s="33">
        <v>1.024</v>
      </c>
      <c r="S37" s="33">
        <v>2.3820000000000001</v>
      </c>
      <c r="T37" s="33">
        <v>5.4950000000000001</v>
      </c>
      <c r="U37" s="33">
        <v>23.962</v>
      </c>
      <c r="V37" s="33">
        <v>6.5449999999999999</v>
      </c>
      <c r="W37" s="33">
        <v>14.04</v>
      </c>
      <c r="X37" s="33">
        <v>8.5950000000000006</v>
      </c>
      <c r="Y37" s="33">
        <v>14.375</v>
      </c>
      <c r="Z37" s="33">
        <v>18.635999999999999</v>
      </c>
      <c r="AA37" s="33">
        <v>23.423999999999999</v>
      </c>
      <c r="AB37" s="33">
        <v>31.050999999999998</v>
      </c>
      <c r="AC37" s="33">
        <v>104.03100000000001</v>
      </c>
      <c r="AD37" s="33">
        <v>29.725000000000001</v>
      </c>
      <c r="AE37" s="33">
        <v>13.558</v>
      </c>
      <c r="AF37" s="33">
        <v>41.81</v>
      </c>
      <c r="AG37" s="33">
        <v>5.0999999999999997E-2</v>
      </c>
      <c r="AH37" s="33">
        <v>0.79200000000000004</v>
      </c>
      <c r="AI37" s="33">
        <v>2.5339999999999998</v>
      </c>
      <c r="AJ37" s="33">
        <v>1.8839999999999999</v>
      </c>
      <c r="AK37" s="33">
        <v>9999</v>
      </c>
      <c r="AL37" s="33">
        <v>18.657</v>
      </c>
      <c r="AM37" s="33">
        <v>14.073</v>
      </c>
      <c r="AN37" s="33">
        <v>17.908999999999999</v>
      </c>
      <c r="AO37" s="33">
        <v>5.99</v>
      </c>
      <c r="AP37" s="33">
        <v>2.956</v>
      </c>
      <c r="AQ37" s="33">
        <v>13.754</v>
      </c>
      <c r="AR37" s="33">
        <v>13.971</v>
      </c>
      <c r="AS37" s="33">
        <v>19.431999999999999</v>
      </c>
      <c r="AT37" s="33">
        <v>32.466999999999999</v>
      </c>
      <c r="AU37" s="33">
        <v>104.62</v>
      </c>
      <c r="AV37" s="33">
        <v>13.898999999999999</v>
      </c>
      <c r="AW37" s="33">
        <v>9.3149999999999995</v>
      </c>
      <c r="AX37" s="33">
        <v>36.631999999999998</v>
      </c>
      <c r="AY37" s="33">
        <v>27.358000000000001</v>
      </c>
      <c r="AZ37" s="33">
        <v>47.743000000000002</v>
      </c>
    </row>
    <row r="38" spans="1:52">
      <c r="A38">
        <v>36</v>
      </c>
      <c r="B38" s="33">
        <v>16.716000000000001</v>
      </c>
      <c r="C38" s="33">
        <v>29.027999999999999</v>
      </c>
      <c r="D38" s="33">
        <v>17.510000000000002</v>
      </c>
      <c r="E38" s="33">
        <v>16.966999999999999</v>
      </c>
      <c r="F38" s="33">
        <v>14.904</v>
      </c>
      <c r="G38" s="33">
        <v>18.751999999999999</v>
      </c>
      <c r="H38" s="33">
        <v>15.926</v>
      </c>
      <c r="I38" s="33">
        <v>16.670000000000002</v>
      </c>
      <c r="J38" s="33">
        <v>15.275</v>
      </c>
      <c r="K38" s="33">
        <v>20.47</v>
      </c>
      <c r="L38" s="33">
        <v>21.135000000000002</v>
      </c>
      <c r="M38" s="33">
        <v>17.911999999999999</v>
      </c>
      <c r="N38" s="33">
        <v>17.869</v>
      </c>
      <c r="O38" s="33">
        <v>19.155999999999999</v>
      </c>
      <c r="P38" s="33">
        <v>20.114999999999998</v>
      </c>
      <c r="Q38" s="33">
        <v>26.684999999999999</v>
      </c>
      <c r="R38" s="33">
        <v>20.088999999999999</v>
      </c>
      <c r="S38" s="33">
        <v>17.771999999999998</v>
      </c>
      <c r="T38" s="33">
        <v>16.777999999999999</v>
      </c>
      <c r="U38" s="33">
        <v>37.750999999999998</v>
      </c>
      <c r="V38" s="33">
        <v>20.114999999999998</v>
      </c>
      <c r="W38" s="33">
        <v>37.822000000000003</v>
      </c>
      <c r="X38" s="33">
        <v>18.317</v>
      </c>
      <c r="Y38" s="33">
        <v>9.7780000000000005</v>
      </c>
      <c r="Z38" s="33">
        <v>32.424999999999997</v>
      </c>
      <c r="AA38" s="33">
        <v>37.213000000000001</v>
      </c>
      <c r="AB38" s="33">
        <v>20.474</v>
      </c>
      <c r="AC38" s="33">
        <v>93.372</v>
      </c>
      <c r="AD38" s="33">
        <v>43.514000000000003</v>
      </c>
      <c r="AE38" s="33">
        <v>30.632999999999999</v>
      </c>
      <c r="AF38" s="33">
        <v>55.598999999999997</v>
      </c>
      <c r="AG38" s="33">
        <v>20.75</v>
      </c>
      <c r="AH38" s="33">
        <v>19.126999999999999</v>
      </c>
      <c r="AI38" s="33">
        <v>17.241</v>
      </c>
      <c r="AJ38" s="33">
        <v>17.75</v>
      </c>
      <c r="AK38" s="33">
        <v>20.699000000000002</v>
      </c>
      <c r="AL38" s="33">
        <v>9999</v>
      </c>
      <c r="AM38" s="33">
        <v>29.77</v>
      </c>
      <c r="AN38" s="33">
        <v>33.832000000000001</v>
      </c>
      <c r="AO38" s="33">
        <v>16.568999999999999</v>
      </c>
      <c r="AP38" s="33">
        <v>19.346</v>
      </c>
      <c r="AQ38" s="33">
        <v>9.157</v>
      </c>
      <c r="AR38" s="33">
        <v>25.998000000000001</v>
      </c>
      <c r="AS38" s="33">
        <v>29.154</v>
      </c>
      <c r="AT38" s="33">
        <v>16.181000000000001</v>
      </c>
      <c r="AU38" s="33">
        <v>93.960999999999999</v>
      </c>
      <c r="AV38" s="33">
        <v>23.620999999999999</v>
      </c>
      <c r="AW38" s="33">
        <v>19.036999999999999</v>
      </c>
      <c r="AX38" s="33">
        <v>54.491999999999997</v>
      </c>
      <c r="AY38" s="33">
        <v>41.146999999999998</v>
      </c>
      <c r="AZ38" s="33">
        <v>70.382000000000005</v>
      </c>
    </row>
    <row r="39" spans="1:52">
      <c r="A39">
        <v>37</v>
      </c>
      <c r="B39" s="33">
        <v>20.295000000000002</v>
      </c>
      <c r="C39" s="33">
        <v>32.606999999999999</v>
      </c>
      <c r="D39" s="33">
        <v>15.683999999999999</v>
      </c>
      <c r="E39" s="33">
        <v>16.082999999999998</v>
      </c>
      <c r="F39" s="33">
        <v>28.274000000000001</v>
      </c>
      <c r="G39" s="33">
        <v>18.765000000000001</v>
      </c>
      <c r="H39" s="33">
        <v>28.786999999999999</v>
      </c>
      <c r="I39" s="33">
        <v>16.635000000000002</v>
      </c>
      <c r="J39" s="33">
        <v>19.553999999999998</v>
      </c>
      <c r="K39" s="33">
        <v>13.808</v>
      </c>
      <c r="L39" s="33">
        <v>13.678000000000001</v>
      </c>
      <c r="M39" s="33">
        <v>15.391999999999999</v>
      </c>
      <c r="N39" s="33">
        <v>15.74</v>
      </c>
      <c r="O39" s="33">
        <v>20.187000000000001</v>
      </c>
      <c r="P39" s="33">
        <v>19.350000000000001</v>
      </c>
      <c r="Q39" s="33">
        <v>3.028</v>
      </c>
      <c r="R39" s="33">
        <v>14.093999999999999</v>
      </c>
      <c r="S39" s="33">
        <v>15.909000000000001</v>
      </c>
      <c r="T39" s="33">
        <v>20.045999999999999</v>
      </c>
      <c r="U39" s="33">
        <v>36.284999999999997</v>
      </c>
      <c r="V39" s="33">
        <v>19.350000000000001</v>
      </c>
      <c r="W39" s="33">
        <v>23.248999999999999</v>
      </c>
      <c r="X39" s="33">
        <v>21.896000000000001</v>
      </c>
      <c r="Y39" s="33">
        <v>27.456</v>
      </c>
      <c r="Z39" s="33">
        <v>30.959</v>
      </c>
      <c r="AA39" s="33">
        <v>35.747</v>
      </c>
      <c r="AB39" s="33">
        <v>41.320999999999998</v>
      </c>
      <c r="AC39" s="33">
        <v>114.291</v>
      </c>
      <c r="AD39" s="33">
        <v>42.048000000000002</v>
      </c>
      <c r="AE39" s="33">
        <v>13.276999999999999</v>
      </c>
      <c r="AF39" s="33">
        <v>54.133000000000003</v>
      </c>
      <c r="AG39" s="33">
        <v>13.577999999999999</v>
      </c>
      <c r="AH39" s="33">
        <v>14.319000000000001</v>
      </c>
      <c r="AI39" s="33">
        <v>16.061</v>
      </c>
      <c r="AJ39" s="33">
        <v>15.411</v>
      </c>
      <c r="AK39" s="33">
        <v>13.526999999999999</v>
      </c>
      <c r="AL39" s="33">
        <v>28.927</v>
      </c>
      <c r="AM39" s="33">
        <v>9999</v>
      </c>
      <c r="AN39" s="33">
        <v>7.3979999999999997</v>
      </c>
      <c r="AO39" s="33">
        <v>19.39</v>
      </c>
      <c r="AP39" s="33">
        <v>17.041</v>
      </c>
      <c r="AQ39" s="33">
        <v>25.824999999999999</v>
      </c>
      <c r="AR39" s="33">
        <v>26.914999999999999</v>
      </c>
      <c r="AS39" s="33">
        <v>32.732999999999997</v>
      </c>
      <c r="AT39" s="33">
        <v>42.737000000000002</v>
      </c>
      <c r="AU39" s="33">
        <v>114.88</v>
      </c>
      <c r="AV39" s="33">
        <v>27.2</v>
      </c>
      <c r="AW39" s="33">
        <v>22.616</v>
      </c>
      <c r="AX39" s="33">
        <v>45.841000000000001</v>
      </c>
      <c r="AY39" s="33">
        <v>39.680999999999997</v>
      </c>
      <c r="AZ39" s="33">
        <v>38.149000000000001</v>
      </c>
    </row>
    <row r="40" spans="1:52">
      <c r="A40">
        <v>38</v>
      </c>
      <c r="B40" s="33">
        <v>24.187000000000001</v>
      </c>
      <c r="C40" s="33">
        <v>36.499000000000002</v>
      </c>
      <c r="D40" s="33">
        <v>19.576000000000001</v>
      </c>
      <c r="E40" s="33">
        <v>19.975000000000001</v>
      </c>
      <c r="F40" s="33">
        <v>32.165999999999997</v>
      </c>
      <c r="G40" s="33">
        <v>22.657</v>
      </c>
      <c r="H40" s="33">
        <v>25.393999999999998</v>
      </c>
      <c r="I40" s="33">
        <v>24.79</v>
      </c>
      <c r="J40" s="33">
        <v>23.378</v>
      </c>
      <c r="K40" s="33">
        <v>17.7</v>
      </c>
      <c r="L40" s="33">
        <v>17.57</v>
      </c>
      <c r="M40" s="33">
        <v>19.283999999999999</v>
      </c>
      <c r="N40" s="33">
        <v>19.632000000000001</v>
      </c>
      <c r="O40" s="33">
        <v>24.079000000000001</v>
      </c>
      <c r="P40" s="33">
        <v>23.242000000000001</v>
      </c>
      <c r="Q40" s="33">
        <v>6.92</v>
      </c>
      <c r="R40" s="33">
        <v>17.986000000000001</v>
      </c>
      <c r="S40" s="33">
        <v>19.800999999999998</v>
      </c>
      <c r="T40" s="33">
        <v>23.937999999999999</v>
      </c>
      <c r="U40" s="33">
        <v>40.177</v>
      </c>
      <c r="V40" s="33">
        <v>23.242000000000001</v>
      </c>
      <c r="W40" s="33">
        <v>27.140999999999998</v>
      </c>
      <c r="X40" s="33">
        <v>25.788</v>
      </c>
      <c r="Y40" s="33">
        <v>29.164000000000001</v>
      </c>
      <c r="Z40" s="33">
        <v>34.850999999999999</v>
      </c>
      <c r="AA40" s="33">
        <v>39.639000000000003</v>
      </c>
      <c r="AB40" s="33">
        <v>44.841000000000001</v>
      </c>
      <c r="AC40" s="33">
        <v>117.81100000000001</v>
      </c>
      <c r="AD40" s="33">
        <v>45.94</v>
      </c>
      <c r="AE40" s="33">
        <v>17.169</v>
      </c>
      <c r="AF40" s="33">
        <v>58.024999999999999</v>
      </c>
      <c r="AG40" s="33">
        <v>17.47</v>
      </c>
      <c r="AH40" s="33">
        <v>18.210999999999999</v>
      </c>
      <c r="AI40" s="33">
        <v>19.952999999999999</v>
      </c>
      <c r="AJ40" s="33">
        <v>19.303000000000001</v>
      </c>
      <c r="AK40" s="33">
        <v>17.419</v>
      </c>
      <c r="AL40" s="33">
        <v>32.447000000000003</v>
      </c>
      <c r="AM40" s="33">
        <v>7.4539999999999997</v>
      </c>
      <c r="AN40" s="33">
        <v>9999</v>
      </c>
      <c r="AO40" s="33">
        <v>23.282</v>
      </c>
      <c r="AP40" s="33">
        <v>20.933</v>
      </c>
      <c r="AQ40" s="33">
        <v>28.542999999999999</v>
      </c>
      <c r="AR40" s="33">
        <v>30.806999999999999</v>
      </c>
      <c r="AS40" s="33">
        <v>36.625</v>
      </c>
      <c r="AT40" s="33">
        <v>46.256999999999998</v>
      </c>
      <c r="AU40" s="33">
        <v>118.4</v>
      </c>
      <c r="AV40" s="33">
        <v>31.091999999999999</v>
      </c>
      <c r="AW40" s="33">
        <v>26.507999999999999</v>
      </c>
      <c r="AX40" s="33">
        <v>49.732999999999997</v>
      </c>
      <c r="AY40" s="33">
        <v>43.573</v>
      </c>
      <c r="AZ40" s="33">
        <v>31.869</v>
      </c>
    </row>
    <row r="41" spans="1:52">
      <c r="A41">
        <v>39</v>
      </c>
      <c r="B41" s="33">
        <v>1.1220000000000001</v>
      </c>
      <c r="C41" s="33">
        <v>13.433999999999999</v>
      </c>
      <c r="D41" s="33">
        <v>3.6659999999999999</v>
      </c>
      <c r="E41" s="33">
        <v>3.1230000000000002</v>
      </c>
      <c r="F41" s="33">
        <v>3.3090000000000002</v>
      </c>
      <c r="G41" s="33">
        <v>3.2109999999999999</v>
      </c>
      <c r="H41" s="33">
        <v>1.875</v>
      </c>
      <c r="I41" s="33">
        <v>3.6749999999999998</v>
      </c>
      <c r="J41" s="33">
        <v>5.2729999999999997</v>
      </c>
      <c r="K41" s="33">
        <v>4.5019999999999998</v>
      </c>
      <c r="L41" s="33">
        <v>7.016</v>
      </c>
      <c r="M41" s="33">
        <v>3.9079999999999999</v>
      </c>
      <c r="N41" s="33">
        <v>3.5270000000000001</v>
      </c>
      <c r="O41" s="33">
        <v>1.716</v>
      </c>
      <c r="P41" s="33">
        <v>4.5490000000000004</v>
      </c>
      <c r="Q41" s="33">
        <v>16.38</v>
      </c>
      <c r="R41" s="33">
        <v>8.2080000000000002</v>
      </c>
      <c r="S41" s="33">
        <v>3.6379999999999999</v>
      </c>
      <c r="T41" s="33">
        <v>0.92800000000000005</v>
      </c>
      <c r="U41" s="33">
        <v>21.966000000000001</v>
      </c>
      <c r="V41" s="33">
        <v>3.02</v>
      </c>
      <c r="W41" s="33">
        <v>15.327</v>
      </c>
      <c r="X41" s="33">
        <v>2.7229999999999999</v>
      </c>
      <c r="Y41" s="33">
        <v>10.824</v>
      </c>
      <c r="Z41" s="33">
        <v>16.64</v>
      </c>
      <c r="AA41" s="33">
        <v>21.428000000000001</v>
      </c>
      <c r="AB41" s="33">
        <v>29.166</v>
      </c>
      <c r="AC41" s="33">
        <v>107.807</v>
      </c>
      <c r="AD41" s="33">
        <v>27.728999999999999</v>
      </c>
      <c r="AE41" s="33">
        <v>16.55</v>
      </c>
      <c r="AF41" s="33">
        <v>39.814</v>
      </c>
      <c r="AG41" s="33">
        <v>7.6920000000000002</v>
      </c>
      <c r="AH41" s="33">
        <v>3.9319999999999999</v>
      </c>
      <c r="AI41" s="33">
        <v>4.6070000000000002</v>
      </c>
      <c r="AJ41" s="33">
        <v>5.1159999999999997</v>
      </c>
      <c r="AK41" s="33">
        <v>7.641</v>
      </c>
      <c r="AL41" s="33">
        <v>16.806000000000001</v>
      </c>
      <c r="AM41" s="33">
        <v>19.465</v>
      </c>
      <c r="AN41" s="33">
        <v>23.300999999999998</v>
      </c>
      <c r="AO41" s="33">
        <v>9999</v>
      </c>
      <c r="AP41" s="33">
        <v>3.597</v>
      </c>
      <c r="AQ41" s="33">
        <v>10.202999999999999</v>
      </c>
      <c r="AR41" s="33">
        <v>10.404</v>
      </c>
      <c r="AS41" s="33">
        <v>13.56</v>
      </c>
      <c r="AT41" s="33">
        <v>30.616</v>
      </c>
      <c r="AU41" s="33">
        <v>108.396</v>
      </c>
      <c r="AV41" s="33">
        <v>8.0269999999999992</v>
      </c>
      <c r="AW41" s="33">
        <v>3.4430000000000001</v>
      </c>
      <c r="AX41" s="33">
        <v>38.707000000000001</v>
      </c>
      <c r="AY41" s="33">
        <v>25.361999999999998</v>
      </c>
      <c r="AZ41" s="33">
        <v>50.734999999999999</v>
      </c>
    </row>
    <row r="42" spans="1:52">
      <c r="A42">
        <v>40</v>
      </c>
      <c r="B42" s="33">
        <v>4.4329999999999998</v>
      </c>
      <c r="C42" s="33">
        <v>16.745000000000001</v>
      </c>
      <c r="D42" s="33">
        <v>3.37</v>
      </c>
      <c r="E42" s="33">
        <v>3.706</v>
      </c>
      <c r="F42" s="33">
        <v>6.7670000000000003</v>
      </c>
      <c r="G42" s="33">
        <v>2.097</v>
      </c>
      <c r="H42" s="33">
        <v>5.3090000000000002</v>
      </c>
      <c r="I42" s="33">
        <v>4.258</v>
      </c>
      <c r="J42" s="33">
        <v>4.3380000000000001</v>
      </c>
      <c r="K42" s="33">
        <v>3.0950000000000002</v>
      </c>
      <c r="L42" s="33">
        <v>3.4609999999999999</v>
      </c>
      <c r="M42" s="33">
        <v>2.8980000000000001</v>
      </c>
      <c r="N42" s="33">
        <v>2.972</v>
      </c>
      <c r="O42" s="33">
        <v>4.3250000000000002</v>
      </c>
      <c r="P42" s="33">
        <v>3.4950000000000001</v>
      </c>
      <c r="Q42" s="33">
        <v>15.336</v>
      </c>
      <c r="R42" s="33">
        <v>3.6880000000000002</v>
      </c>
      <c r="S42" s="33">
        <v>3.0390000000000001</v>
      </c>
      <c r="T42" s="33">
        <v>4.1719999999999997</v>
      </c>
      <c r="U42" s="33">
        <v>20.911999999999999</v>
      </c>
      <c r="V42" s="33">
        <v>3.4950000000000001</v>
      </c>
      <c r="W42" s="33">
        <v>14.282999999999999</v>
      </c>
      <c r="X42" s="33">
        <v>6.0339999999999998</v>
      </c>
      <c r="Y42" s="33">
        <v>14.282</v>
      </c>
      <c r="Z42" s="33">
        <v>15.586</v>
      </c>
      <c r="AA42" s="33">
        <v>20.373999999999999</v>
      </c>
      <c r="AB42" s="33">
        <v>32.624000000000002</v>
      </c>
      <c r="AC42" s="33">
        <v>111.265</v>
      </c>
      <c r="AD42" s="33">
        <v>26.675000000000001</v>
      </c>
      <c r="AE42" s="33">
        <v>15.506</v>
      </c>
      <c r="AF42" s="33">
        <v>38.76</v>
      </c>
      <c r="AG42" s="33">
        <v>3.355</v>
      </c>
      <c r="AH42" s="33">
        <v>2.5249999999999999</v>
      </c>
      <c r="AI42" s="33">
        <v>4.2670000000000003</v>
      </c>
      <c r="AJ42" s="33">
        <v>3.617</v>
      </c>
      <c r="AK42" s="33">
        <v>3.3039999999999998</v>
      </c>
      <c r="AL42" s="33">
        <v>20.263999999999999</v>
      </c>
      <c r="AM42" s="33">
        <v>18.420999999999999</v>
      </c>
      <c r="AN42" s="33">
        <v>22.257000000000001</v>
      </c>
      <c r="AO42" s="33">
        <v>3.528</v>
      </c>
      <c r="AP42" s="33">
        <v>9999</v>
      </c>
      <c r="AQ42" s="33">
        <v>13.661</v>
      </c>
      <c r="AR42" s="33">
        <v>10.920999999999999</v>
      </c>
      <c r="AS42" s="33">
        <v>16.870999999999999</v>
      </c>
      <c r="AT42" s="33">
        <v>34.073999999999998</v>
      </c>
      <c r="AU42" s="33">
        <v>111.854</v>
      </c>
      <c r="AV42" s="33">
        <v>11.337999999999999</v>
      </c>
      <c r="AW42" s="33">
        <v>6.7539999999999996</v>
      </c>
      <c r="AX42" s="33">
        <v>37.652999999999999</v>
      </c>
      <c r="AY42" s="33">
        <v>24.308</v>
      </c>
      <c r="AZ42" s="33">
        <v>49.691000000000003</v>
      </c>
    </row>
    <row r="43" spans="1:52">
      <c r="A43">
        <v>41</v>
      </c>
      <c r="B43" s="33">
        <v>10.411</v>
      </c>
      <c r="C43" s="33">
        <v>22.722999999999999</v>
      </c>
      <c r="D43" s="33">
        <v>12.253</v>
      </c>
      <c r="E43" s="33">
        <v>11.71</v>
      </c>
      <c r="F43" s="33">
        <v>8.5990000000000002</v>
      </c>
      <c r="G43" s="33">
        <v>13.494999999999999</v>
      </c>
      <c r="H43" s="33">
        <v>9.6210000000000004</v>
      </c>
      <c r="I43" s="33">
        <v>11.413</v>
      </c>
      <c r="J43" s="33">
        <v>10.018000000000001</v>
      </c>
      <c r="K43" s="33">
        <v>14.164999999999999</v>
      </c>
      <c r="L43" s="33">
        <v>14.83</v>
      </c>
      <c r="M43" s="33">
        <v>12.654999999999999</v>
      </c>
      <c r="N43" s="33">
        <v>12.612</v>
      </c>
      <c r="O43" s="33">
        <v>12.851000000000001</v>
      </c>
      <c r="P43" s="33">
        <v>13.81</v>
      </c>
      <c r="Q43" s="33">
        <v>22.611999999999998</v>
      </c>
      <c r="R43" s="33">
        <v>13.784000000000001</v>
      </c>
      <c r="S43" s="33">
        <v>12.515000000000001</v>
      </c>
      <c r="T43" s="33">
        <v>10.473000000000001</v>
      </c>
      <c r="U43" s="33">
        <v>31.446000000000002</v>
      </c>
      <c r="V43" s="33">
        <v>13.81</v>
      </c>
      <c r="W43" s="33">
        <v>31.516999999999999</v>
      </c>
      <c r="X43" s="33">
        <v>12.012</v>
      </c>
      <c r="Y43" s="33">
        <v>1.171</v>
      </c>
      <c r="Z43" s="33">
        <v>26.12</v>
      </c>
      <c r="AA43" s="33">
        <v>30.908000000000001</v>
      </c>
      <c r="AB43" s="33">
        <v>18.707000000000001</v>
      </c>
      <c r="AC43" s="33">
        <v>100.553</v>
      </c>
      <c r="AD43" s="33">
        <v>37.209000000000003</v>
      </c>
      <c r="AE43" s="33">
        <v>26.785</v>
      </c>
      <c r="AF43" s="33">
        <v>49.293999999999997</v>
      </c>
      <c r="AG43" s="33">
        <v>14.445</v>
      </c>
      <c r="AH43" s="33">
        <v>13.87</v>
      </c>
      <c r="AI43" s="33">
        <v>11.984</v>
      </c>
      <c r="AJ43" s="33">
        <v>12.493</v>
      </c>
      <c r="AK43" s="33">
        <v>14.394</v>
      </c>
      <c r="AL43" s="33">
        <v>9.5519999999999996</v>
      </c>
      <c r="AM43" s="33">
        <v>25.696999999999999</v>
      </c>
      <c r="AN43" s="33">
        <v>29.759</v>
      </c>
      <c r="AO43" s="33">
        <v>10.263999999999999</v>
      </c>
      <c r="AP43" s="33">
        <v>14.731999999999999</v>
      </c>
      <c r="AQ43" s="33">
        <v>9999</v>
      </c>
      <c r="AR43" s="33">
        <v>19.693000000000001</v>
      </c>
      <c r="AS43" s="33">
        <v>22.849</v>
      </c>
      <c r="AT43" s="33">
        <v>23.361999999999998</v>
      </c>
      <c r="AU43" s="33">
        <v>101.142</v>
      </c>
      <c r="AV43" s="33">
        <v>17.315999999999999</v>
      </c>
      <c r="AW43" s="33">
        <v>12.731999999999999</v>
      </c>
      <c r="AX43" s="33">
        <v>48.186999999999998</v>
      </c>
      <c r="AY43" s="33">
        <v>34.841999999999999</v>
      </c>
      <c r="AZ43" s="33">
        <v>64.076999999999998</v>
      </c>
    </row>
    <row r="44" spans="1:52">
      <c r="A44">
        <v>42</v>
      </c>
      <c r="B44" s="33">
        <v>9.49</v>
      </c>
      <c r="C44" s="33">
        <v>21.802</v>
      </c>
      <c r="D44" s="33">
        <v>14.368</v>
      </c>
      <c r="E44" s="33">
        <v>13.282</v>
      </c>
      <c r="F44" s="33">
        <v>12.81</v>
      </c>
      <c r="G44" s="33">
        <v>13.095000000000001</v>
      </c>
      <c r="H44" s="33">
        <v>12.025</v>
      </c>
      <c r="I44" s="33">
        <v>13.834</v>
      </c>
      <c r="J44" s="33">
        <v>15.831</v>
      </c>
      <c r="K44" s="33">
        <v>14.587999999999999</v>
      </c>
      <c r="L44" s="33">
        <v>15.006</v>
      </c>
      <c r="M44" s="33">
        <v>13.667</v>
      </c>
      <c r="N44" s="33">
        <v>13.97</v>
      </c>
      <c r="O44" s="33">
        <v>9.9429999999999996</v>
      </c>
      <c r="P44" s="33">
        <v>8.5630000000000006</v>
      </c>
      <c r="Q44" s="33">
        <v>23.876999999999999</v>
      </c>
      <c r="R44" s="33">
        <v>16.198</v>
      </c>
      <c r="S44" s="33">
        <v>14.037000000000001</v>
      </c>
      <c r="T44" s="33">
        <v>11.102</v>
      </c>
      <c r="U44" s="33">
        <v>16.951000000000001</v>
      </c>
      <c r="V44" s="33">
        <v>8.5630000000000006</v>
      </c>
      <c r="W44" s="33">
        <v>15.616</v>
      </c>
      <c r="X44" s="33">
        <v>11.090999999999999</v>
      </c>
      <c r="Y44" s="33">
        <v>20.324999999999999</v>
      </c>
      <c r="Z44" s="33">
        <v>11.625</v>
      </c>
      <c r="AA44" s="33">
        <v>16.413</v>
      </c>
      <c r="AB44" s="33">
        <v>38.667000000000002</v>
      </c>
      <c r="AC44" s="33">
        <v>117.30800000000001</v>
      </c>
      <c r="AD44" s="33">
        <v>22.713999999999999</v>
      </c>
      <c r="AE44" s="33">
        <v>20.137</v>
      </c>
      <c r="AF44" s="33">
        <v>34.798999999999999</v>
      </c>
      <c r="AG44" s="33">
        <v>15.682</v>
      </c>
      <c r="AH44" s="33">
        <v>14.018000000000001</v>
      </c>
      <c r="AI44" s="33">
        <v>14.766</v>
      </c>
      <c r="AJ44" s="33">
        <v>15.11</v>
      </c>
      <c r="AK44" s="33">
        <v>15.631</v>
      </c>
      <c r="AL44" s="33">
        <v>26.306999999999999</v>
      </c>
      <c r="AM44" s="33">
        <v>26.962</v>
      </c>
      <c r="AN44" s="33">
        <v>30.797999999999998</v>
      </c>
      <c r="AO44" s="33">
        <v>10.436</v>
      </c>
      <c r="AP44" s="33">
        <v>11.579000000000001</v>
      </c>
      <c r="AQ44" s="33">
        <v>19.704000000000001</v>
      </c>
      <c r="AR44" s="33">
        <v>9999</v>
      </c>
      <c r="AS44" s="33">
        <v>21.928000000000001</v>
      </c>
      <c r="AT44" s="33">
        <v>40.116999999999997</v>
      </c>
      <c r="AU44" s="33">
        <v>117.89700000000001</v>
      </c>
      <c r="AV44" s="33">
        <v>16.395</v>
      </c>
      <c r="AW44" s="33">
        <v>11.811</v>
      </c>
      <c r="AX44" s="33">
        <v>33.692</v>
      </c>
      <c r="AY44" s="33">
        <v>20.347000000000001</v>
      </c>
      <c r="AZ44" s="33">
        <v>54.454999999999998</v>
      </c>
    </row>
    <row r="45" spans="1:52">
      <c r="A45">
        <v>43</v>
      </c>
      <c r="B45" s="33">
        <v>13.157999999999999</v>
      </c>
      <c r="C45" s="33">
        <v>0.17199999999999999</v>
      </c>
      <c r="D45" s="33">
        <v>16.981999999999999</v>
      </c>
      <c r="E45" s="33">
        <v>16.439</v>
      </c>
      <c r="F45" s="33">
        <v>15.967000000000001</v>
      </c>
      <c r="G45" s="33">
        <v>16.527000000000001</v>
      </c>
      <c r="H45" s="33">
        <v>15.182</v>
      </c>
      <c r="I45" s="33">
        <v>16.991</v>
      </c>
      <c r="J45" s="33">
        <v>18.588999999999999</v>
      </c>
      <c r="K45" s="33">
        <v>17.818000000000001</v>
      </c>
      <c r="L45" s="33">
        <v>20.317</v>
      </c>
      <c r="M45" s="33">
        <v>17.224</v>
      </c>
      <c r="N45" s="33">
        <v>16.843</v>
      </c>
      <c r="O45" s="33">
        <v>15.016999999999999</v>
      </c>
      <c r="P45" s="33">
        <v>15.976000000000001</v>
      </c>
      <c r="Q45" s="33">
        <v>29.681000000000001</v>
      </c>
      <c r="R45" s="33">
        <v>18.600000000000001</v>
      </c>
      <c r="S45" s="33">
        <v>16.954000000000001</v>
      </c>
      <c r="T45" s="33">
        <v>14.259</v>
      </c>
      <c r="U45" s="33">
        <v>33.612000000000002</v>
      </c>
      <c r="V45" s="33">
        <v>15.976000000000001</v>
      </c>
      <c r="W45" s="33">
        <v>28.628</v>
      </c>
      <c r="X45" s="33">
        <v>11.368</v>
      </c>
      <c r="Y45" s="33">
        <v>23.481999999999999</v>
      </c>
      <c r="Z45" s="33">
        <v>28.286000000000001</v>
      </c>
      <c r="AA45" s="33">
        <v>33.073999999999998</v>
      </c>
      <c r="AB45" s="33">
        <v>41.823999999999998</v>
      </c>
      <c r="AC45" s="33">
        <v>120.465</v>
      </c>
      <c r="AD45" s="33">
        <v>39.375</v>
      </c>
      <c r="AE45" s="33">
        <v>29.850999999999999</v>
      </c>
      <c r="AF45" s="33">
        <v>51.46</v>
      </c>
      <c r="AG45" s="33">
        <v>18.084</v>
      </c>
      <c r="AH45" s="33">
        <v>17.248000000000001</v>
      </c>
      <c r="AI45" s="33">
        <v>17.922999999999998</v>
      </c>
      <c r="AJ45" s="33">
        <v>18.431999999999999</v>
      </c>
      <c r="AK45" s="33">
        <v>18.033000000000001</v>
      </c>
      <c r="AL45" s="33">
        <v>29.463999999999999</v>
      </c>
      <c r="AM45" s="33">
        <v>32.765999999999998</v>
      </c>
      <c r="AN45" s="33">
        <v>36.601999999999997</v>
      </c>
      <c r="AO45" s="33">
        <v>13.593</v>
      </c>
      <c r="AP45" s="33">
        <v>16.898</v>
      </c>
      <c r="AQ45" s="33">
        <v>22.861000000000001</v>
      </c>
      <c r="AR45" s="33">
        <v>21.859000000000002</v>
      </c>
      <c r="AS45" s="33">
        <v>9999</v>
      </c>
      <c r="AT45" s="33">
        <v>43.274000000000001</v>
      </c>
      <c r="AU45" s="33">
        <v>121.054</v>
      </c>
      <c r="AV45" s="33">
        <v>9.8740000000000006</v>
      </c>
      <c r="AW45" s="33">
        <v>12.087999999999999</v>
      </c>
      <c r="AX45" s="33">
        <v>50.353000000000002</v>
      </c>
      <c r="AY45" s="33">
        <v>37.008000000000003</v>
      </c>
      <c r="AZ45" s="33">
        <v>64.036000000000001</v>
      </c>
    </row>
    <row r="46" spans="1:52">
      <c r="A46">
        <v>44</v>
      </c>
      <c r="B46" s="33">
        <v>30.4</v>
      </c>
      <c r="C46" s="33">
        <v>42.712000000000003</v>
      </c>
      <c r="D46" s="33">
        <v>31.193999999999999</v>
      </c>
      <c r="E46" s="33">
        <v>31.474</v>
      </c>
      <c r="F46" s="33">
        <v>28.588000000000001</v>
      </c>
      <c r="G46" s="33">
        <v>32.436</v>
      </c>
      <c r="H46" s="33">
        <v>29.61</v>
      </c>
      <c r="I46" s="33">
        <v>30.353999999999999</v>
      </c>
      <c r="J46" s="33">
        <v>28.959</v>
      </c>
      <c r="K46" s="33">
        <v>34.154000000000003</v>
      </c>
      <c r="L46" s="33">
        <v>34.819000000000003</v>
      </c>
      <c r="M46" s="33">
        <v>31.596</v>
      </c>
      <c r="N46" s="33">
        <v>31.553000000000001</v>
      </c>
      <c r="O46" s="33">
        <v>32.840000000000003</v>
      </c>
      <c r="P46" s="33">
        <v>33.798999999999999</v>
      </c>
      <c r="Q46" s="33">
        <v>40.369</v>
      </c>
      <c r="R46" s="33">
        <v>33.773000000000003</v>
      </c>
      <c r="S46" s="33">
        <v>31.456</v>
      </c>
      <c r="T46" s="33">
        <v>30.462</v>
      </c>
      <c r="U46" s="33">
        <v>51.435000000000002</v>
      </c>
      <c r="V46" s="33">
        <v>33.798999999999999</v>
      </c>
      <c r="W46" s="33">
        <v>51.506</v>
      </c>
      <c r="X46" s="33">
        <v>32.000999999999998</v>
      </c>
      <c r="Y46" s="33">
        <v>23.462</v>
      </c>
      <c r="Z46" s="33">
        <v>46.109000000000002</v>
      </c>
      <c r="AA46" s="33">
        <v>50.896999999999998</v>
      </c>
      <c r="AB46" s="33">
        <v>37.777000000000001</v>
      </c>
      <c r="AC46" s="33">
        <v>83.403000000000006</v>
      </c>
      <c r="AD46" s="33">
        <v>57.198</v>
      </c>
      <c r="AE46" s="33">
        <v>44.317</v>
      </c>
      <c r="AF46" s="33">
        <v>69.283000000000001</v>
      </c>
      <c r="AG46" s="33">
        <v>34.433999999999997</v>
      </c>
      <c r="AH46" s="33">
        <v>32.811</v>
      </c>
      <c r="AI46" s="33">
        <v>30.925000000000001</v>
      </c>
      <c r="AJ46" s="33">
        <v>31.434000000000001</v>
      </c>
      <c r="AK46" s="33">
        <v>34.383000000000003</v>
      </c>
      <c r="AL46" s="33">
        <v>15.87</v>
      </c>
      <c r="AM46" s="33">
        <v>43.454000000000001</v>
      </c>
      <c r="AN46" s="33">
        <v>47.515999999999998</v>
      </c>
      <c r="AO46" s="33">
        <v>30.253</v>
      </c>
      <c r="AP46" s="33">
        <v>33.03</v>
      </c>
      <c r="AQ46" s="33">
        <v>22.841000000000001</v>
      </c>
      <c r="AR46" s="33">
        <v>39.682000000000002</v>
      </c>
      <c r="AS46" s="33">
        <v>42.838000000000001</v>
      </c>
      <c r="AT46" s="33">
        <v>9999</v>
      </c>
      <c r="AU46" s="33">
        <v>83.992000000000004</v>
      </c>
      <c r="AV46" s="33">
        <v>37.305</v>
      </c>
      <c r="AW46" s="33">
        <v>32.720999999999997</v>
      </c>
      <c r="AX46" s="33">
        <v>68.176000000000002</v>
      </c>
      <c r="AY46" s="33">
        <v>54.831000000000003</v>
      </c>
      <c r="AZ46" s="33">
        <v>84.066000000000003</v>
      </c>
    </row>
    <row r="47" spans="1:52">
      <c r="A47">
        <v>45</v>
      </c>
      <c r="B47" s="33">
        <v>108.482</v>
      </c>
      <c r="C47" s="33">
        <v>120.794</v>
      </c>
      <c r="D47" s="33">
        <v>103.624</v>
      </c>
      <c r="E47" s="33">
        <v>103.081</v>
      </c>
      <c r="F47" s="33">
        <v>106.67</v>
      </c>
      <c r="G47" s="33">
        <v>104.866</v>
      </c>
      <c r="H47" s="33">
        <v>107.69199999999999</v>
      </c>
      <c r="I47" s="33">
        <v>102.78400000000001</v>
      </c>
      <c r="J47" s="33">
        <v>101.389</v>
      </c>
      <c r="K47" s="33">
        <v>112.236</v>
      </c>
      <c r="L47" s="33">
        <v>112.901</v>
      </c>
      <c r="M47" s="33">
        <v>104.026</v>
      </c>
      <c r="N47" s="33">
        <v>103.983</v>
      </c>
      <c r="O47" s="33">
        <v>110.922</v>
      </c>
      <c r="P47" s="33">
        <v>111.881</v>
      </c>
      <c r="Q47" s="33">
        <v>118.45099999999999</v>
      </c>
      <c r="R47" s="33">
        <v>111.855</v>
      </c>
      <c r="S47" s="33">
        <v>103.886</v>
      </c>
      <c r="T47" s="33">
        <v>108.544</v>
      </c>
      <c r="U47" s="33">
        <v>129.517</v>
      </c>
      <c r="V47" s="33">
        <v>111.881</v>
      </c>
      <c r="W47" s="33">
        <v>129.58799999999999</v>
      </c>
      <c r="X47" s="33">
        <v>110.083</v>
      </c>
      <c r="Y47" s="33">
        <v>101.544</v>
      </c>
      <c r="Z47" s="33">
        <v>124.191</v>
      </c>
      <c r="AA47" s="33">
        <v>128.97900000000001</v>
      </c>
      <c r="AB47" s="33">
        <v>115.85899999999999</v>
      </c>
      <c r="AC47" s="33">
        <v>0.58799999999999997</v>
      </c>
      <c r="AD47" s="33">
        <v>135.28</v>
      </c>
      <c r="AE47" s="33">
        <v>122.399</v>
      </c>
      <c r="AF47" s="33">
        <v>147.36500000000001</v>
      </c>
      <c r="AG47" s="33">
        <v>112.51600000000001</v>
      </c>
      <c r="AH47" s="33">
        <v>105.241</v>
      </c>
      <c r="AI47" s="33">
        <v>103.355</v>
      </c>
      <c r="AJ47" s="33">
        <v>103.864</v>
      </c>
      <c r="AK47" s="33">
        <v>112.465</v>
      </c>
      <c r="AL47" s="33">
        <v>93.951999999999998</v>
      </c>
      <c r="AM47" s="33">
        <v>121.536</v>
      </c>
      <c r="AN47" s="33">
        <v>125.598</v>
      </c>
      <c r="AO47" s="33">
        <v>108.33499999999999</v>
      </c>
      <c r="AP47" s="33">
        <v>105.46</v>
      </c>
      <c r="AQ47" s="33">
        <v>100.923</v>
      </c>
      <c r="AR47" s="33">
        <v>117.764</v>
      </c>
      <c r="AS47" s="33">
        <v>120.92</v>
      </c>
      <c r="AT47" s="33">
        <v>83.61</v>
      </c>
      <c r="AU47" s="33">
        <v>9999</v>
      </c>
      <c r="AV47" s="33">
        <v>115.387</v>
      </c>
      <c r="AW47" s="33">
        <v>110.803</v>
      </c>
      <c r="AX47" s="33">
        <v>146.25800000000001</v>
      </c>
      <c r="AY47" s="33">
        <v>132.91300000000001</v>
      </c>
      <c r="AZ47" s="33">
        <v>162.148</v>
      </c>
    </row>
    <row r="48" spans="1:52">
      <c r="A48">
        <v>46</v>
      </c>
      <c r="B48" s="33">
        <v>7.6159999999999997</v>
      </c>
      <c r="C48" s="33">
        <v>9.7390000000000008</v>
      </c>
      <c r="D48" s="33">
        <v>11.44</v>
      </c>
      <c r="E48" s="33">
        <v>10.897</v>
      </c>
      <c r="F48" s="33">
        <v>10.425000000000001</v>
      </c>
      <c r="G48" s="33">
        <v>10.984999999999999</v>
      </c>
      <c r="H48" s="33">
        <v>9.64</v>
      </c>
      <c r="I48" s="33">
        <v>11.449</v>
      </c>
      <c r="J48" s="33">
        <v>13.047000000000001</v>
      </c>
      <c r="K48" s="33">
        <v>12.276</v>
      </c>
      <c r="L48" s="33">
        <v>14.775</v>
      </c>
      <c r="M48" s="33">
        <v>11.682</v>
      </c>
      <c r="N48" s="33">
        <v>11.301</v>
      </c>
      <c r="O48" s="33">
        <v>9.4749999999999996</v>
      </c>
      <c r="P48" s="33">
        <v>10.433999999999999</v>
      </c>
      <c r="Q48" s="33">
        <v>24.138999999999999</v>
      </c>
      <c r="R48" s="33">
        <v>13.058</v>
      </c>
      <c r="S48" s="33">
        <v>11.412000000000001</v>
      </c>
      <c r="T48" s="33">
        <v>8.7170000000000005</v>
      </c>
      <c r="U48" s="33">
        <v>28.07</v>
      </c>
      <c r="V48" s="33">
        <v>10.433999999999999</v>
      </c>
      <c r="W48" s="33">
        <v>23.085999999999999</v>
      </c>
      <c r="X48" s="33">
        <v>5.8259999999999996</v>
      </c>
      <c r="Y48" s="33">
        <v>17.940000000000001</v>
      </c>
      <c r="Z48" s="33">
        <v>23.87</v>
      </c>
      <c r="AA48" s="33">
        <v>27.532</v>
      </c>
      <c r="AB48" s="33">
        <v>36.281999999999996</v>
      </c>
      <c r="AC48" s="33">
        <v>114.923</v>
      </c>
      <c r="AD48" s="33">
        <v>34.869</v>
      </c>
      <c r="AE48" s="33">
        <v>24.309000000000001</v>
      </c>
      <c r="AF48" s="33">
        <v>45.917999999999999</v>
      </c>
      <c r="AG48" s="33">
        <v>12.542</v>
      </c>
      <c r="AH48" s="33">
        <v>11.706</v>
      </c>
      <c r="AI48" s="33">
        <v>12.381</v>
      </c>
      <c r="AJ48" s="33">
        <v>12.89</v>
      </c>
      <c r="AK48" s="33">
        <v>12.491</v>
      </c>
      <c r="AL48" s="33">
        <v>23.922000000000001</v>
      </c>
      <c r="AM48" s="33">
        <v>27.224</v>
      </c>
      <c r="AN48" s="33">
        <v>31.06</v>
      </c>
      <c r="AO48" s="33">
        <v>8.0510000000000002</v>
      </c>
      <c r="AP48" s="33">
        <v>11.356</v>
      </c>
      <c r="AQ48" s="33">
        <v>17.318999999999999</v>
      </c>
      <c r="AR48" s="33">
        <v>16.317</v>
      </c>
      <c r="AS48" s="33">
        <v>9.8650000000000002</v>
      </c>
      <c r="AT48" s="33">
        <v>37.731999999999999</v>
      </c>
      <c r="AU48" s="33">
        <v>115.512</v>
      </c>
      <c r="AV48" s="33">
        <v>9999</v>
      </c>
      <c r="AW48" s="33">
        <v>6.5460000000000003</v>
      </c>
      <c r="AX48" s="33">
        <v>44.811</v>
      </c>
      <c r="AY48" s="33">
        <v>32.497</v>
      </c>
      <c r="AZ48" s="33">
        <v>58.494</v>
      </c>
    </row>
    <row r="49" spans="1:52">
      <c r="A49">
        <v>47</v>
      </c>
      <c r="B49" s="33">
        <v>2.9849999999999999</v>
      </c>
      <c r="C49" s="33">
        <v>11.868</v>
      </c>
      <c r="D49" s="33">
        <v>6.8090000000000002</v>
      </c>
      <c r="E49" s="33">
        <v>6.266</v>
      </c>
      <c r="F49" s="33">
        <v>3.621</v>
      </c>
      <c r="G49" s="33">
        <v>6.3540000000000001</v>
      </c>
      <c r="H49" s="33">
        <v>4.1589999999999998</v>
      </c>
      <c r="I49" s="33">
        <v>6.8179999999999996</v>
      </c>
      <c r="J49" s="33">
        <v>8.4160000000000004</v>
      </c>
      <c r="K49" s="33">
        <v>7.6449999999999996</v>
      </c>
      <c r="L49" s="33">
        <v>10.144</v>
      </c>
      <c r="M49" s="33">
        <v>7.0510000000000002</v>
      </c>
      <c r="N49" s="33">
        <v>6.67</v>
      </c>
      <c r="O49" s="33">
        <v>4.8440000000000003</v>
      </c>
      <c r="P49" s="33">
        <v>5.8029999999999999</v>
      </c>
      <c r="Q49" s="33">
        <v>22.471</v>
      </c>
      <c r="R49" s="33">
        <v>8.4269999999999996</v>
      </c>
      <c r="S49" s="33">
        <v>6.7809999999999997</v>
      </c>
      <c r="T49" s="33">
        <v>4.0860000000000003</v>
      </c>
      <c r="U49" s="33">
        <v>23.439</v>
      </c>
      <c r="V49" s="33">
        <v>5.8029999999999999</v>
      </c>
      <c r="W49" s="33">
        <v>18.454999999999998</v>
      </c>
      <c r="X49" s="33">
        <v>0.9</v>
      </c>
      <c r="Y49" s="33">
        <v>13.308999999999999</v>
      </c>
      <c r="Z49" s="33">
        <v>18.113</v>
      </c>
      <c r="AA49" s="33">
        <v>22.901</v>
      </c>
      <c r="AB49" s="33">
        <v>31.651</v>
      </c>
      <c r="AC49" s="33">
        <v>110.292</v>
      </c>
      <c r="AD49" s="33">
        <v>29.202000000000002</v>
      </c>
      <c r="AE49" s="33">
        <v>19.678000000000001</v>
      </c>
      <c r="AF49" s="33">
        <v>41.286999999999999</v>
      </c>
      <c r="AG49" s="33">
        <v>7.9109999999999996</v>
      </c>
      <c r="AH49" s="33">
        <v>7.0750000000000002</v>
      </c>
      <c r="AI49" s="33">
        <v>7.75</v>
      </c>
      <c r="AJ49" s="33">
        <v>8.2590000000000003</v>
      </c>
      <c r="AK49" s="33">
        <v>7.86</v>
      </c>
      <c r="AL49" s="33">
        <v>19.291</v>
      </c>
      <c r="AM49" s="33">
        <v>25.5</v>
      </c>
      <c r="AN49" s="33">
        <v>29.617999999999999</v>
      </c>
      <c r="AO49" s="33">
        <v>3.42</v>
      </c>
      <c r="AP49" s="33">
        <v>6.7249999999999996</v>
      </c>
      <c r="AQ49" s="33">
        <v>12.688000000000001</v>
      </c>
      <c r="AR49" s="33">
        <v>11.686</v>
      </c>
      <c r="AS49" s="33">
        <v>11.994</v>
      </c>
      <c r="AT49" s="33">
        <v>33.100999999999999</v>
      </c>
      <c r="AU49" s="33">
        <v>110.881</v>
      </c>
      <c r="AV49" s="33">
        <v>6.4610000000000003</v>
      </c>
      <c r="AW49" s="33">
        <v>9999</v>
      </c>
      <c r="AX49" s="33">
        <v>40.18</v>
      </c>
      <c r="AY49" s="33">
        <v>26.835000000000001</v>
      </c>
      <c r="AZ49" s="33">
        <v>53.863</v>
      </c>
    </row>
    <row r="50" spans="1:52">
      <c r="A50">
        <v>48</v>
      </c>
      <c r="B50" s="33">
        <v>36.909999999999997</v>
      </c>
      <c r="C50" s="33">
        <v>49.222000000000001</v>
      </c>
      <c r="D50" s="33">
        <v>39.42</v>
      </c>
      <c r="E50" s="33">
        <v>38.76</v>
      </c>
      <c r="F50" s="33">
        <v>40.229999999999997</v>
      </c>
      <c r="G50" s="33">
        <v>38.146999999999998</v>
      </c>
      <c r="H50" s="33">
        <v>39.523000000000003</v>
      </c>
      <c r="I50" s="33">
        <v>39.311999999999998</v>
      </c>
      <c r="J50" s="33">
        <v>37.895000000000003</v>
      </c>
      <c r="K50" s="33">
        <v>35.82</v>
      </c>
      <c r="L50" s="33">
        <v>35.034999999999997</v>
      </c>
      <c r="M50" s="33">
        <v>38.719000000000001</v>
      </c>
      <c r="N50" s="33">
        <v>39.021999999999998</v>
      </c>
      <c r="O50" s="33">
        <v>37.237000000000002</v>
      </c>
      <c r="P50" s="33">
        <v>36.012999999999998</v>
      </c>
      <c r="Q50" s="33">
        <v>41.723999999999997</v>
      </c>
      <c r="R50" s="33">
        <v>41.003999999999998</v>
      </c>
      <c r="S50" s="33">
        <v>39.088999999999999</v>
      </c>
      <c r="T50" s="33">
        <v>38.386000000000003</v>
      </c>
      <c r="U50" s="33">
        <v>30.372</v>
      </c>
      <c r="V50" s="33">
        <v>36.012999999999998</v>
      </c>
      <c r="W50" s="33">
        <v>24.161000000000001</v>
      </c>
      <c r="X50" s="33">
        <v>38.511000000000003</v>
      </c>
      <c r="Y50" s="33">
        <v>47.744999999999997</v>
      </c>
      <c r="Z50" s="33">
        <v>25.045999999999999</v>
      </c>
      <c r="AA50" s="33">
        <v>29.834</v>
      </c>
      <c r="AB50" s="33">
        <v>66.087000000000003</v>
      </c>
      <c r="AC50" s="33">
        <v>143.84700000000001</v>
      </c>
      <c r="AD50" s="33">
        <v>36.134999999999998</v>
      </c>
      <c r="AE50" s="33">
        <v>37.984000000000002</v>
      </c>
      <c r="AF50" s="33">
        <v>48.22</v>
      </c>
      <c r="AG50" s="33">
        <v>35.590000000000003</v>
      </c>
      <c r="AH50" s="33">
        <v>36.082000000000001</v>
      </c>
      <c r="AI50" s="33">
        <v>40.158999999999999</v>
      </c>
      <c r="AJ50" s="33">
        <v>37.173999999999999</v>
      </c>
      <c r="AK50" s="33">
        <v>35.539000000000001</v>
      </c>
      <c r="AL50" s="33">
        <v>53.726999999999997</v>
      </c>
      <c r="AM50" s="33">
        <v>44.808999999999997</v>
      </c>
      <c r="AN50" s="33">
        <v>48.645000000000003</v>
      </c>
      <c r="AO50" s="33">
        <v>37.741999999999997</v>
      </c>
      <c r="AP50" s="33">
        <v>36.631</v>
      </c>
      <c r="AQ50" s="33">
        <v>47.124000000000002</v>
      </c>
      <c r="AR50" s="33">
        <v>32.765000000000001</v>
      </c>
      <c r="AS50" s="33">
        <v>49.347999999999999</v>
      </c>
      <c r="AT50" s="33">
        <v>67.537000000000006</v>
      </c>
      <c r="AU50" s="33">
        <v>144.43600000000001</v>
      </c>
      <c r="AV50" s="33">
        <v>43.814999999999998</v>
      </c>
      <c r="AW50" s="33">
        <v>39.231000000000002</v>
      </c>
      <c r="AX50" s="33">
        <v>9999</v>
      </c>
      <c r="AY50" s="33">
        <v>33.768000000000001</v>
      </c>
      <c r="AZ50" s="33">
        <v>72.302000000000007</v>
      </c>
    </row>
    <row r="51" spans="1:52">
      <c r="A51">
        <v>49</v>
      </c>
      <c r="B51" s="33">
        <v>24.646000000000001</v>
      </c>
      <c r="C51" s="33">
        <v>36.957999999999998</v>
      </c>
      <c r="D51" s="33">
        <v>27.155999999999999</v>
      </c>
      <c r="E51" s="33">
        <v>26.495999999999999</v>
      </c>
      <c r="F51" s="33">
        <v>27.966000000000001</v>
      </c>
      <c r="G51" s="33">
        <v>25.882999999999999</v>
      </c>
      <c r="H51" s="33">
        <v>27.259</v>
      </c>
      <c r="I51" s="33">
        <v>27.047999999999998</v>
      </c>
      <c r="J51" s="33">
        <v>28.619</v>
      </c>
      <c r="K51" s="33">
        <v>27.376000000000001</v>
      </c>
      <c r="L51" s="33">
        <v>27.794</v>
      </c>
      <c r="M51" s="33">
        <v>26.454999999999998</v>
      </c>
      <c r="N51" s="33">
        <v>26.757999999999999</v>
      </c>
      <c r="O51" s="33">
        <v>26.274999999999999</v>
      </c>
      <c r="P51" s="33">
        <v>23.748999999999999</v>
      </c>
      <c r="Q51" s="33">
        <v>36.628999999999998</v>
      </c>
      <c r="R51" s="33">
        <v>28.986000000000001</v>
      </c>
      <c r="S51" s="33">
        <v>26.824999999999999</v>
      </c>
      <c r="T51" s="33">
        <v>26.122</v>
      </c>
      <c r="U51" s="33">
        <v>9.4960000000000004</v>
      </c>
      <c r="V51" s="33">
        <v>23.748999999999999</v>
      </c>
      <c r="W51" s="33">
        <v>22.379000000000001</v>
      </c>
      <c r="X51" s="33">
        <v>26.247</v>
      </c>
      <c r="Y51" s="33">
        <v>35.481000000000002</v>
      </c>
      <c r="Z51" s="33">
        <v>10.332000000000001</v>
      </c>
      <c r="AA51" s="33">
        <v>8.9580000000000002</v>
      </c>
      <c r="AB51" s="33">
        <v>36.771000000000001</v>
      </c>
      <c r="AC51" s="33">
        <v>132.464</v>
      </c>
      <c r="AD51" s="33">
        <v>4.6210000000000004</v>
      </c>
      <c r="AE51" s="33">
        <v>32.889000000000003</v>
      </c>
      <c r="AF51" s="33">
        <v>16.706</v>
      </c>
      <c r="AG51" s="33">
        <v>28.47</v>
      </c>
      <c r="AH51" s="33">
        <v>26.806000000000001</v>
      </c>
      <c r="AI51" s="33">
        <v>27.895</v>
      </c>
      <c r="AJ51" s="33">
        <v>27.898</v>
      </c>
      <c r="AK51" s="33">
        <v>28.419</v>
      </c>
      <c r="AL51" s="33">
        <v>41.463000000000001</v>
      </c>
      <c r="AM51" s="33">
        <v>39.713999999999999</v>
      </c>
      <c r="AN51" s="33">
        <v>43.55</v>
      </c>
      <c r="AO51" s="33">
        <v>25.478000000000002</v>
      </c>
      <c r="AP51" s="33">
        <v>24.367000000000001</v>
      </c>
      <c r="AQ51" s="33">
        <v>34.86</v>
      </c>
      <c r="AR51" s="33">
        <v>20.501000000000001</v>
      </c>
      <c r="AS51" s="33">
        <v>37.084000000000003</v>
      </c>
      <c r="AT51" s="33">
        <v>55.273000000000003</v>
      </c>
      <c r="AU51" s="33">
        <v>133.053</v>
      </c>
      <c r="AV51" s="33">
        <v>31.550999999999998</v>
      </c>
      <c r="AW51" s="33">
        <v>26.966999999999999</v>
      </c>
      <c r="AX51" s="33">
        <v>35.152000000000001</v>
      </c>
      <c r="AY51" s="33">
        <v>9999</v>
      </c>
      <c r="AZ51" s="33">
        <v>67.206999999999994</v>
      </c>
    </row>
    <row r="52" spans="1:52">
      <c r="A52">
        <v>50</v>
      </c>
      <c r="B52" s="33">
        <v>51.673999999999999</v>
      </c>
      <c r="C52" s="33">
        <v>63.985999999999997</v>
      </c>
      <c r="D52" s="33">
        <v>49.924999999999997</v>
      </c>
      <c r="E52" s="33">
        <v>50.137999999999998</v>
      </c>
      <c r="F52" s="33">
        <v>54.008000000000003</v>
      </c>
      <c r="G52" s="33">
        <v>48.601999999999997</v>
      </c>
      <c r="H52" s="33">
        <v>52.561999999999998</v>
      </c>
      <c r="I52" s="33">
        <v>50.69</v>
      </c>
      <c r="J52" s="33">
        <v>50.372999999999998</v>
      </c>
      <c r="K52" s="33">
        <v>48.048999999999999</v>
      </c>
      <c r="L52" s="33">
        <v>46.750999999999998</v>
      </c>
      <c r="M52" s="33">
        <v>48.527999999999999</v>
      </c>
      <c r="N52" s="33">
        <v>48.476999999999997</v>
      </c>
      <c r="O52" s="33">
        <v>51.566000000000003</v>
      </c>
      <c r="P52" s="33">
        <v>50.728999999999999</v>
      </c>
      <c r="Q52" s="33">
        <v>37.698999999999998</v>
      </c>
      <c r="R52" s="33">
        <v>48.335000000000001</v>
      </c>
      <c r="S52" s="33">
        <v>49.470999999999997</v>
      </c>
      <c r="T52" s="33">
        <v>51.424999999999997</v>
      </c>
      <c r="U52" s="33">
        <v>64.096000000000004</v>
      </c>
      <c r="V52" s="33">
        <v>50.728999999999999</v>
      </c>
      <c r="W52" s="33">
        <v>51.06</v>
      </c>
      <c r="X52" s="33">
        <v>53.274999999999999</v>
      </c>
      <c r="Y52" s="33">
        <v>64.528000000000006</v>
      </c>
      <c r="Z52" s="33">
        <v>58.77</v>
      </c>
      <c r="AA52" s="33">
        <v>63.558</v>
      </c>
      <c r="AB52" s="33">
        <v>81.751000000000005</v>
      </c>
      <c r="AC52" s="33">
        <v>154.73099999999999</v>
      </c>
      <c r="AD52" s="33">
        <v>69.858999999999995</v>
      </c>
      <c r="AE52" s="33">
        <v>39.470999999999997</v>
      </c>
      <c r="AF52" s="33">
        <v>81.944000000000003</v>
      </c>
      <c r="AG52" s="33">
        <v>47.819000000000003</v>
      </c>
      <c r="AH52" s="33">
        <v>48.56</v>
      </c>
      <c r="AI52" s="33">
        <v>50.302</v>
      </c>
      <c r="AJ52" s="33">
        <v>49.652000000000001</v>
      </c>
      <c r="AK52" s="33">
        <v>47.768000000000001</v>
      </c>
      <c r="AL52" s="33">
        <v>70.510000000000005</v>
      </c>
      <c r="AM52" s="33">
        <v>38.232999999999997</v>
      </c>
      <c r="AN52" s="33">
        <v>31.882000000000001</v>
      </c>
      <c r="AO52" s="33">
        <v>50.768999999999998</v>
      </c>
      <c r="AP52" s="33">
        <v>48.417000000000002</v>
      </c>
      <c r="AQ52" s="33">
        <v>63.906999999999996</v>
      </c>
      <c r="AR52" s="33">
        <v>54.725999999999999</v>
      </c>
      <c r="AS52" s="33">
        <v>64.111999999999995</v>
      </c>
      <c r="AT52" s="33">
        <v>84.32</v>
      </c>
      <c r="AU52" s="33">
        <v>155.32</v>
      </c>
      <c r="AV52" s="33">
        <v>58.579000000000001</v>
      </c>
      <c r="AW52" s="33">
        <v>53.994999999999997</v>
      </c>
      <c r="AX52" s="33">
        <v>73.652000000000001</v>
      </c>
      <c r="AY52" s="33">
        <v>67.492000000000004</v>
      </c>
      <c r="AZ52" s="33">
        <v>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2745-2884-D742-8532-059D47E79954}">
  <dimension ref="A1:M52"/>
  <sheetViews>
    <sheetView tabSelected="1" workbookViewId="0">
      <selection activeCell="N4" sqref="N4"/>
    </sheetView>
  </sheetViews>
  <sheetFormatPr defaultColWidth="11.5546875" defaultRowHeight="15"/>
  <sheetData>
    <row r="1" spans="1:13">
      <c r="A1" s="27" t="s">
        <v>193</v>
      </c>
      <c r="B1" s="27" t="s">
        <v>194</v>
      </c>
      <c r="C1" s="27" t="s">
        <v>195</v>
      </c>
      <c r="D1" s="27" t="s">
        <v>196</v>
      </c>
      <c r="E1" s="27" t="s">
        <v>197</v>
      </c>
      <c r="F1" s="27" t="s">
        <v>2</v>
      </c>
      <c r="G1" s="27" t="s">
        <v>198</v>
      </c>
      <c r="H1" s="27" t="s">
        <v>199</v>
      </c>
      <c r="I1" s="27" t="s">
        <v>200</v>
      </c>
      <c r="J1" s="27" t="s">
        <v>201</v>
      </c>
      <c r="K1" s="27" t="s">
        <v>202</v>
      </c>
      <c r="L1" s="27" t="s">
        <v>210</v>
      </c>
      <c r="M1" s="27" t="s">
        <v>211</v>
      </c>
    </row>
    <row r="2" spans="1:13">
      <c r="A2" s="27">
        <v>0</v>
      </c>
      <c r="B2" s="29">
        <v>0</v>
      </c>
      <c r="C2" s="29">
        <v>0</v>
      </c>
      <c r="D2" s="29">
        <v>24</v>
      </c>
      <c r="E2" s="29">
        <v>0</v>
      </c>
      <c r="F2" s="29">
        <v>0</v>
      </c>
      <c r="G2" s="29">
        <v>0</v>
      </c>
      <c r="H2" s="29">
        <v>0</v>
      </c>
      <c r="I2" s="29">
        <v>0</v>
      </c>
      <c r="J2" s="29">
        <v>0</v>
      </c>
      <c r="K2" s="29">
        <v>0</v>
      </c>
      <c r="L2" s="29">
        <v>0</v>
      </c>
      <c r="M2" s="29">
        <v>0</v>
      </c>
    </row>
    <row r="3" spans="1:13" ht="15.75">
      <c r="A3" s="28">
        <v>1</v>
      </c>
      <c r="B3" s="29">
        <f>AVERAGE(Data_Adj!AV3:AX3)</f>
        <v>4.6333333333333337</v>
      </c>
      <c r="C3" s="29">
        <v>6</v>
      </c>
      <c r="D3" s="29">
        <v>20</v>
      </c>
      <c r="E3" s="30">
        <v>1.5</v>
      </c>
      <c r="F3" s="29">
        <f>Data_Adj!H3</f>
        <v>3</v>
      </c>
      <c r="G3" s="29">
        <f>Data_Adj!N3</f>
        <v>5</v>
      </c>
      <c r="H3" s="29">
        <f>Data_Adj!T3</f>
        <v>2</v>
      </c>
      <c r="I3" s="29">
        <f>Data_Adj!AF3</f>
        <v>3</v>
      </c>
      <c r="J3" s="29">
        <v>500</v>
      </c>
      <c r="K3" s="29">
        <f>Data_Adj!AO3</f>
        <v>20</v>
      </c>
      <c r="L3" s="29">
        <f>Data_Adj!Z3</f>
        <v>3</v>
      </c>
      <c r="M3" s="29">
        <f>Data_Adj!AL3</f>
        <v>5</v>
      </c>
    </row>
    <row r="4" spans="1:13" ht="15.75">
      <c r="A4" s="27">
        <v>2</v>
      </c>
      <c r="B4" s="29">
        <f>AVERAGE(Data_Adj!AV4:AX4)</f>
        <v>4.666666666666667</v>
      </c>
      <c r="C4" s="29">
        <v>5</v>
      </c>
      <c r="D4" s="29">
        <v>22</v>
      </c>
      <c r="E4" s="30">
        <v>1</v>
      </c>
      <c r="F4" s="29">
        <f>Data_Adj!H4</f>
        <v>5</v>
      </c>
      <c r="G4" s="29">
        <f>Data_Adj!N4</f>
        <v>5</v>
      </c>
      <c r="H4" s="29">
        <f>Data_Adj!T4</f>
        <v>5</v>
      </c>
      <c r="I4" s="29">
        <f>Data_Adj!AF4</f>
        <v>4</v>
      </c>
      <c r="J4" s="29">
        <v>300</v>
      </c>
      <c r="K4" s="29">
        <f>Data_Adj!AO4</f>
        <v>0</v>
      </c>
      <c r="L4" s="29">
        <f>Data_Adj!Z4</f>
        <v>5</v>
      </c>
      <c r="M4" s="29">
        <f>Data_Adj!AL4</f>
        <v>3</v>
      </c>
    </row>
    <row r="5" spans="1:13" ht="15.75">
      <c r="A5" s="27">
        <v>3</v>
      </c>
      <c r="B5" s="29">
        <f>AVERAGE(Data_Adj!AV5:AX5)</f>
        <v>4.666666666666667</v>
      </c>
      <c r="C5" s="29">
        <v>5.5</v>
      </c>
      <c r="D5" s="29">
        <v>19.5</v>
      </c>
      <c r="E5" s="30">
        <v>1</v>
      </c>
      <c r="F5" s="29">
        <f>Data_Adj!H5</f>
        <v>5</v>
      </c>
      <c r="G5" s="29">
        <f>Data_Adj!N5</f>
        <v>5</v>
      </c>
      <c r="H5" s="29">
        <f>Data_Adj!T5</f>
        <v>5</v>
      </c>
      <c r="I5" s="29">
        <f>Data_Adj!AF5</f>
        <v>4</v>
      </c>
      <c r="J5" s="29">
        <v>250</v>
      </c>
      <c r="K5" s="29">
        <f>Data_Adj!AO5</f>
        <v>0</v>
      </c>
      <c r="L5" s="29">
        <f>Data_Adj!Z5</f>
        <v>5</v>
      </c>
      <c r="M5" s="29">
        <f>Data_Adj!AL5</f>
        <v>3</v>
      </c>
    </row>
    <row r="6" spans="1:13" ht="15.75">
      <c r="A6" s="27">
        <v>4</v>
      </c>
      <c r="B6" s="29">
        <f>AVERAGE(Data_Adj!AV6:AX6)</f>
        <v>4.5333333333333341</v>
      </c>
      <c r="C6" s="29">
        <v>6</v>
      </c>
      <c r="D6" s="29">
        <v>20</v>
      </c>
      <c r="E6" s="30">
        <v>1</v>
      </c>
      <c r="F6" s="29">
        <f>Data_Adj!H6</f>
        <v>4</v>
      </c>
      <c r="G6" s="29">
        <f>Data_Adj!N6</f>
        <v>5</v>
      </c>
      <c r="H6" s="29">
        <f>Data_Adj!T6</f>
        <v>1</v>
      </c>
      <c r="I6" s="29">
        <f>Data_Adj!AF6</f>
        <v>4</v>
      </c>
      <c r="J6" s="29">
        <v>400</v>
      </c>
      <c r="K6" s="29">
        <f>Data_Adj!AO6</f>
        <v>0</v>
      </c>
      <c r="L6" s="29">
        <f>Data_Adj!Z6</f>
        <v>3</v>
      </c>
      <c r="M6" s="29">
        <f>Data_Adj!AL6</f>
        <v>4</v>
      </c>
    </row>
    <row r="7" spans="1:13" ht="15.75">
      <c r="A7" s="27">
        <v>5</v>
      </c>
      <c r="B7" s="29">
        <f>AVERAGE(Data_Adj!AV7:AX7)</f>
        <v>4.4333333333333327</v>
      </c>
      <c r="C7" s="29">
        <v>6</v>
      </c>
      <c r="D7" s="29">
        <v>18</v>
      </c>
      <c r="E7" s="30">
        <v>1</v>
      </c>
      <c r="F7" s="29">
        <f>Data_Adj!H7</f>
        <v>5</v>
      </c>
      <c r="G7" s="29">
        <f>Data_Adj!N7</f>
        <v>5</v>
      </c>
      <c r="H7" s="29">
        <f>Data_Adj!T7</f>
        <v>5</v>
      </c>
      <c r="I7" s="29">
        <f>Data_Adj!AF7</f>
        <v>4</v>
      </c>
      <c r="J7" s="29">
        <v>300</v>
      </c>
      <c r="K7" s="29">
        <f>Data_Adj!AO7</f>
        <v>0</v>
      </c>
      <c r="L7" s="29">
        <f>Data_Adj!Z7</f>
        <v>5</v>
      </c>
      <c r="M7" s="29">
        <f>Data_Adj!AL7</f>
        <v>3</v>
      </c>
    </row>
    <row r="8" spans="1:13" ht="15.75">
      <c r="A8" s="27">
        <v>6</v>
      </c>
      <c r="B8" s="29">
        <f>AVERAGE(Data_Adj!AV8:AX8)</f>
        <v>4.5</v>
      </c>
      <c r="C8" s="29">
        <v>6</v>
      </c>
      <c r="D8" s="29">
        <v>18</v>
      </c>
      <c r="E8" s="30">
        <v>1</v>
      </c>
      <c r="F8" s="29">
        <f>Data_Adj!H8</f>
        <v>5</v>
      </c>
      <c r="G8" s="29">
        <f>Data_Adj!N8</f>
        <v>5</v>
      </c>
      <c r="H8" s="29">
        <f>Data_Adj!T8</f>
        <v>5</v>
      </c>
      <c r="I8" s="29">
        <f>Data_Adj!AF8</f>
        <v>5</v>
      </c>
      <c r="J8" s="29">
        <v>350</v>
      </c>
      <c r="K8" s="29">
        <f>Data_Adj!AO8</f>
        <v>0</v>
      </c>
      <c r="L8" s="29">
        <f>Data_Adj!Z8</f>
        <v>5</v>
      </c>
      <c r="M8" s="29">
        <f>Data_Adj!AL8</f>
        <v>4</v>
      </c>
    </row>
    <row r="9" spans="1:13" ht="15.75">
      <c r="A9" s="27">
        <v>7</v>
      </c>
      <c r="B9" s="29">
        <f>AVERAGE(Data_Adj!AV9:AX9)</f>
        <v>4.6333333333333337</v>
      </c>
      <c r="C9" s="29">
        <v>8</v>
      </c>
      <c r="D9" s="29">
        <v>17.5</v>
      </c>
      <c r="E9" s="30">
        <v>0.75</v>
      </c>
      <c r="F9" s="29">
        <f>Data_Adj!H9</f>
        <v>4</v>
      </c>
      <c r="G9" s="29">
        <f>Data_Adj!N9</f>
        <v>5</v>
      </c>
      <c r="H9" s="29">
        <f>Data_Adj!T9</f>
        <v>2</v>
      </c>
      <c r="I9" s="29">
        <f>Data_Adj!AF9</f>
        <v>4</v>
      </c>
      <c r="J9" s="29">
        <v>300</v>
      </c>
      <c r="K9" s="29">
        <f>Data_Adj!AO9</f>
        <v>0</v>
      </c>
      <c r="L9" s="29">
        <f>Data_Adj!Z9</f>
        <v>4</v>
      </c>
      <c r="M9" s="29">
        <f>Data_Adj!AL9</f>
        <v>3</v>
      </c>
    </row>
    <row r="10" spans="1:13" ht="15.75">
      <c r="A10" s="27">
        <v>8</v>
      </c>
      <c r="B10" s="29">
        <f>AVERAGE(Data_Adj!AV10:AX10)</f>
        <v>4.6000000000000005</v>
      </c>
      <c r="C10" s="29">
        <v>6</v>
      </c>
      <c r="D10" s="29">
        <v>18</v>
      </c>
      <c r="E10" s="30">
        <v>1</v>
      </c>
      <c r="F10" s="29">
        <f>Data_Adj!H10</f>
        <v>4</v>
      </c>
      <c r="G10" s="29">
        <f>Data_Adj!N10</f>
        <v>4</v>
      </c>
      <c r="H10" s="29">
        <f>Data_Adj!T10</f>
        <v>0</v>
      </c>
      <c r="I10" s="29">
        <f>Data_Adj!AF10</f>
        <v>5</v>
      </c>
      <c r="J10" s="29">
        <v>300</v>
      </c>
      <c r="K10" s="29">
        <f>Data_Adj!AO10</f>
        <v>0</v>
      </c>
      <c r="L10" s="29">
        <f>Data_Adj!Z10</f>
        <v>2</v>
      </c>
      <c r="M10" s="29">
        <f>Data_Adj!AL10</f>
        <v>3</v>
      </c>
    </row>
    <row r="11" spans="1:13" ht="15.75">
      <c r="A11" s="27">
        <v>9</v>
      </c>
      <c r="B11" s="29">
        <f>AVERAGE(Data_Adj!AV11:AX11)</f>
        <v>4.2666666666666666</v>
      </c>
      <c r="C11" s="29">
        <v>8</v>
      </c>
      <c r="D11" s="29">
        <v>18</v>
      </c>
      <c r="E11" s="30">
        <v>0.75</v>
      </c>
      <c r="F11" s="29">
        <f>Data_Adj!H11</f>
        <v>4</v>
      </c>
      <c r="G11" s="29">
        <f>Data_Adj!N11</f>
        <v>5</v>
      </c>
      <c r="H11" s="29">
        <f>Data_Adj!T11</f>
        <v>1</v>
      </c>
      <c r="I11" s="29">
        <f>Data_Adj!AF11</f>
        <v>4</v>
      </c>
      <c r="J11" s="29">
        <v>250</v>
      </c>
      <c r="K11" s="29">
        <f>Data_Adj!AO11</f>
        <v>0</v>
      </c>
      <c r="L11" s="29">
        <f>Data_Adj!Z11</f>
        <v>4</v>
      </c>
      <c r="M11" s="29">
        <f>Data_Adj!AL11</f>
        <v>3</v>
      </c>
    </row>
    <row r="12" spans="1:13" ht="15.75">
      <c r="A12" s="27">
        <v>10</v>
      </c>
      <c r="B12" s="29">
        <f>AVERAGE(Data_Adj!AV12:AX12)</f>
        <v>4.5666666666666664</v>
      </c>
      <c r="C12" s="29">
        <v>6</v>
      </c>
      <c r="D12" s="29">
        <v>18</v>
      </c>
      <c r="E12" s="30">
        <v>0.75</v>
      </c>
      <c r="F12" s="29">
        <f>Data_Adj!H12</f>
        <v>5</v>
      </c>
      <c r="G12" s="29">
        <f>Data_Adj!N12</f>
        <v>5</v>
      </c>
      <c r="H12" s="29">
        <f>Data_Adj!T12</f>
        <v>2</v>
      </c>
      <c r="I12" s="29">
        <f>Data_Adj!AF12</f>
        <v>2</v>
      </c>
      <c r="J12" s="29">
        <v>250</v>
      </c>
      <c r="K12" s="29">
        <f>Data_Adj!AO12</f>
        <v>0</v>
      </c>
      <c r="L12" s="29">
        <f>Data_Adj!Z12</f>
        <v>5</v>
      </c>
      <c r="M12" s="29">
        <f>Data_Adj!AL12</f>
        <v>3</v>
      </c>
    </row>
    <row r="13" spans="1:13" ht="15.75">
      <c r="A13" s="27">
        <v>11</v>
      </c>
      <c r="B13" s="29">
        <f>AVERAGE(Data_Adj!AV13:AX13)</f>
        <v>4.2666666666666666</v>
      </c>
      <c r="C13" s="29">
        <v>8.5</v>
      </c>
      <c r="D13" s="29">
        <v>16.5</v>
      </c>
      <c r="E13" s="30">
        <v>1.5</v>
      </c>
      <c r="F13" s="29">
        <f>Data_Adj!H13</f>
        <v>5</v>
      </c>
      <c r="G13" s="29">
        <f>Data_Adj!N13</f>
        <v>5</v>
      </c>
      <c r="H13" s="29">
        <f>Data_Adj!T13</f>
        <v>5</v>
      </c>
      <c r="I13" s="29">
        <f>Data_Adj!AF13</f>
        <v>4</v>
      </c>
      <c r="J13" s="29">
        <v>300</v>
      </c>
      <c r="K13" s="29">
        <f>Data_Adj!AO13</f>
        <v>90</v>
      </c>
      <c r="L13" s="29">
        <f>Data_Adj!Z13</f>
        <v>5</v>
      </c>
      <c r="M13" s="29">
        <f>Data_Adj!AL13</f>
        <v>3</v>
      </c>
    </row>
    <row r="14" spans="1:13" ht="15.75">
      <c r="A14" s="27">
        <v>12</v>
      </c>
      <c r="B14" s="29">
        <f>AVERAGE(Data_Adj!AV14:AX14)</f>
        <v>4.3999999999999995</v>
      </c>
      <c r="C14" s="29">
        <v>8.5</v>
      </c>
      <c r="D14" s="29">
        <v>16.5</v>
      </c>
      <c r="E14" s="30">
        <v>1.5</v>
      </c>
      <c r="F14" s="29">
        <f>Data_Adj!H14</f>
        <v>5</v>
      </c>
      <c r="G14" s="29">
        <f>Data_Adj!N14</f>
        <v>5</v>
      </c>
      <c r="H14" s="29">
        <f>Data_Adj!T14</f>
        <v>5</v>
      </c>
      <c r="I14" s="29">
        <f>Data_Adj!AF14</f>
        <v>4</v>
      </c>
      <c r="J14" s="29">
        <v>300</v>
      </c>
      <c r="K14" s="29">
        <f>Data_Adj!AO14</f>
        <v>20</v>
      </c>
      <c r="L14" s="29">
        <f>Data_Adj!Z14</f>
        <v>5</v>
      </c>
      <c r="M14" s="29">
        <f>Data_Adj!AL14</f>
        <v>3</v>
      </c>
    </row>
    <row r="15" spans="1:13" ht="15.75">
      <c r="A15" s="27">
        <v>13</v>
      </c>
      <c r="B15" s="29">
        <f>AVERAGE(Data_Adj!AV15:AX15)</f>
        <v>4.0666666666666673</v>
      </c>
      <c r="C15" s="29">
        <v>9</v>
      </c>
      <c r="D15" s="29">
        <v>16</v>
      </c>
      <c r="E15" s="30">
        <v>1</v>
      </c>
      <c r="F15" s="29">
        <f>Data_Adj!H15</f>
        <v>5</v>
      </c>
      <c r="G15" s="29">
        <f>Data_Adj!N15</f>
        <v>5</v>
      </c>
      <c r="H15" s="29">
        <f>Data_Adj!T15</f>
        <v>4</v>
      </c>
      <c r="I15" s="29">
        <f>Data_Adj!AF15</f>
        <v>4</v>
      </c>
      <c r="J15" s="29">
        <v>200</v>
      </c>
      <c r="K15" s="29">
        <f>Data_Adj!AO15</f>
        <v>20</v>
      </c>
      <c r="L15" s="29">
        <f>Data_Adj!Z15</f>
        <v>5</v>
      </c>
      <c r="M15" s="29">
        <f>Data_Adj!AL15</f>
        <v>3</v>
      </c>
    </row>
    <row r="16" spans="1:13" ht="15.75">
      <c r="A16" s="27">
        <v>14</v>
      </c>
      <c r="B16" s="29">
        <f>AVERAGE(Data_Adj!AV16:AX16)</f>
        <v>4.4499999999999993</v>
      </c>
      <c r="C16" s="29">
        <v>8.5</v>
      </c>
      <c r="D16" s="29">
        <v>16</v>
      </c>
      <c r="E16" s="30">
        <v>1</v>
      </c>
      <c r="F16" s="29">
        <f>Data_Adj!H16</f>
        <v>4</v>
      </c>
      <c r="G16" s="29">
        <f>Data_Adj!N16</f>
        <v>5</v>
      </c>
      <c r="H16" s="29">
        <f>Data_Adj!T16</f>
        <v>2</v>
      </c>
      <c r="I16" s="29">
        <f>Data_Adj!AF16</f>
        <v>4</v>
      </c>
      <c r="J16" s="29">
        <v>200</v>
      </c>
      <c r="K16" s="29">
        <f>Data_Adj!AO16</f>
        <v>0</v>
      </c>
      <c r="L16" s="29">
        <f>Data_Adj!Z16</f>
        <v>5</v>
      </c>
      <c r="M16" s="29">
        <f>Data_Adj!AL16</f>
        <v>4</v>
      </c>
    </row>
    <row r="17" spans="1:13" ht="15.75">
      <c r="A17" s="27">
        <v>15</v>
      </c>
      <c r="B17" s="29">
        <f>AVERAGE(Data_Adj!AV17:AX17)</f>
        <v>4.3999999999999995</v>
      </c>
      <c r="C17" s="29">
        <v>10</v>
      </c>
      <c r="D17" s="29">
        <v>18</v>
      </c>
      <c r="E17" s="30">
        <v>1.5</v>
      </c>
      <c r="F17" s="29">
        <f>Data_Adj!H17</f>
        <v>4</v>
      </c>
      <c r="G17" s="29">
        <f>Data_Adj!N17</f>
        <v>5</v>
      </c>
      <c r="H17" s="29">
        <f>Data_Adj!T17</f>
        <v>4</v>
      </c>
      <c r="I17" s="29">
        <f>Data_Adj!AF17</f>
        <v>2</v>
      </c>
      <c r="J17" s="29">
        <v>300</v>
      </c>
      <c r="K17" s="29">
        <f>Data_Adj!AO17</f>
        <v>150</v>
      </c>
      <c r="L17" s="29">
        <f>Data_Adj!Z17</f>
        <v>4</v>
      </c>
      <c r="M17" s="29">
        <f>Data_Adj!AL17</f>
        <v>2</v>
      </c>
    </row>
    <row r="18" spans="1:13" ht="15.75">
      <c r="A18" s="27">
        <v>16</v>
      </c>
      <c r="B18" s="29">
        <f>AVERAGE(Data_Adj!AV18:AX18)</f>
        <v>4.3999999999999995</v>
      </c>
      <c r="C18" s="29">
        <v>9</v>
      </c>
      <c r="D18" s="29">
        <v>21</v>
      </c>
      <c r="E18" s="30">
        <v>2</v>
      </c>
      <c r="F18" s="29">
        <f>Data_Adj!H18</f>
        <v>5</v>
      </c>
      <c r="G18" s="29">
        <f>Data_Adj!N18</f>
        <v>4</v>
      </c>
      <c r="H18" s="29">
        <f>Data_Adj!T18</f>
        <v>5</v>
      </c>
      <c r="I18" s="29">
        <f>Data_Adj!AF18</f>
        <v>0</v>
      </c>
      <c r="J18" s="29">
        <v>500</v>
      </c>
      <c r="K18" s="29">
        <f>Data_Adj!AO18</f>
        <v>200</v>
      </c>
      <c r="L18" s="29">
        <f>Data_Adj!Z18</f>
        <v>4</v>
      </c>
      <c r="M18" s="29">
        <f>Data_Adj!AL18</f>
        <v>1</v>
      </c>
    </row>
    <row r="19" spans="1:13" ht="15.75">
      <c r="A19" s="27">
        <v>17</v>
      </c>
      <c r="B19" s="29">
        <f>AVERAGE(Data_Adj!AV19:AX19)</f>
        <v>4.5333333333333332</v>
      </c>
      <c r="C19" s="29">
        <v>8.5</v>
      </c>
      <c r="D19" s="29">
        <v>17</v>
      </c>
      <c r="E19" s="30">
        <v>1</v>
      </c>
      <c r="F19" s="29">
        <f>Data_Adj!H19</f>
        <v>5</v>
      </c>
      <c r="G19" s="29">
        <f>Data_Adj!N19</f>
        <v>5</v>
      </c>
      <c r="H19" s="29">
        <f>Data_Adj!T19</f>
        <v>5</v>
      </c>
      <c r="I19" s="29">
        <f>Data_Adj!AF19</f>
        <v>4</v>
      </c>
      <c r="J19" s="29">
        <v>200</v>
      </c>
      <c r="K19" s="29">
        <f>Data_Adj!AO19</f>
        <v>20</v>
      </c>
      <c r="L19" s="29">
        <f>Data_Adj!Z19</f>
        <v>5</v>
      </c>
      <c r="M19" s="29">
        <f>Data_Adj!AL19</f>
        <v>3</v>
      </c>
    </row>
    <row r="20" spans="1:13" ht="15.75">
      <c r="A20" s="27">
        <v>18</v>
      </c>
      <c r="B20" s="29">
        <f>AVERAGE(Data_Adj!AV20:AX20)</f>
        <v>4.3</v>
      </c>
      <c r="C20" s="29">
        <v>10</v>
      </c>
      <c r="D20" s="29">
        <v>15</v>
      </c>
      <c r="E20" s="30">
        <v>1</v>
      </c>
      <c r="F20" s="29">
        <f>Data_Adj!H20</f>
        <v>3</v>
      </c>
      <c r="G20" s="29">
        <f>Data_Adj!N20</f>
        <v>2</v>
      </c>
      <c r="H20" s="29">
        <f>Data_Adj!T20</f>
        <v>0</v>
      </c>
      <c r="I20" s="29">
        <f>Data_Adj!AF20</f>
        <v>1</v>
      </c>
      <c r="J20" s="29">
        <v>150</v>
      </c>
      <c r="K20" s="29">
        <f>Data_Adj!AO20</f>
        <v>200</v>
      </c>
      <c r="L20" s="29">
        <f>Data_Adj!Z20</f>
        <v>4</v>
      </c>
      <c r="M20" s="29">
        <f>Data_Adj!AL20</f>
        <v>0</v>
      </c>
    </row>
    <row r="21" spans="1:13" ht="15.75">
      <c r="A21" s="27">
        <v>19</v>
      </c>
      <c r="B21" s="29">
        <f>AVERAGE(Data_Adj!AV21:AX21)</f>
        <v>4.6333333333333329</v>
      </c>
      <c r="C21" s="29">
        <v>9</v>
      </c>
      <c r="D21" s="29">
        <v>17</v>
      </c>
      <c r="E21" s="30">
        <v>1</v>
      </c>
      <c r="F21" s="29">
        <f>Data_Adj!H21</f>
        <v>4</v>
      </c>
      <c r="G21" s="29">
        <f>Data_Adj!N21</f>
        <v>5</v>
      </c>
      <c r="H21" s="29">
        <f>Data_Adj!T21</f>
        <v>0</v>
      </c>
      <c r="I21" s="29">
        <f>Data_Adj!AF21</f>
        <v>4</v>
      </c>
      <c r="J21" s="29">
        <v>200</v>
      </c>
      <c r="K21" s="29">
        <f>Data_Adj!AO21</f>
        <v>20</v>
      </c>
      <c r="L21" s="29">
        <f>Data_Adj!Z21</f>
        <v>5</v>
      </c>
      <c r="M21" s="29">
        <f>Data_Adj!AL21</f>
        <v>4</v>
      </c>
    </row>
    <row r="22" spans="1:13" ht="15.75">
      <c r="A22" s="27">
        <v>20</v>
      </c>
      <c r="B22" s="29">
        <f>AVERAGE(Data_Adj!AV22:AX22)</f>
        <v>3.6</v>
      </c>
      <c r="C22" s="29">
        <v>9</v>
      </c>
      <c r="D22" s="29">
        <v>16</v>
      </c>
      <c r="E22" s="30">
        <v>1</v>
      </c>
      <c r="F22" s="29">
        <f>Data_Adj!H22</f>
        <v>4</v>
      </c>
      <c r="G22" s="29">
        <f>Data_Adj!N22</f>
        <v>5</v>
      </c>
      <c r="H22" s="29">
        <f>Data_Adj!T22</f>
        <v>2</v>
      </c>
      <c r="I22" s="29">
        <f>Data_Adj!AF22</f>
        <v>4</v>
      </c>
      <c r="J22" s="29">
        <v>200</v>
      </c>
      <c r="K22" s="29">
        <f>Data_Adj!AO22</f>
        <v>0</v>
      </c>
      <c r="L22" s="29">
        <f>Data_Adj!Z22</f>
        <v>5</v>
      </c>
      <c r="M22" s="29">
        <f>Data_Adj!AL22</f>
        <v>4</v>
      </c>
    </row>
    <row r="23" spans="1:13" ht="15.75">
      <c r="A23" s="27">
        <v>21</v>
      </c>
      <c r="B23" s="29">
        <f>AVERAGE(Data_Adj!AV23:AX23)</f>
        <v>4.6500000000000004</v>
      </c>
      <c r="C23" s="29">
        <v>8</v>
      </c>
      <c r="D23" s="29">
        <v>17</v>
      </c>
      <c r="E23" s="30">
        <v>5</v>
      </c>
      <c r="F23" s="29">
        <f>Data_Adj!H23</f>
        <v>3</v>
      </c>
      <c r="G23" s="29">
        <f>Data_Adj!N23</f>
        <v>5</v>
      </c>
      <c r="H23" s="29">
        <f>Data_Adj!T23</f>
        <v>1</v>
      </c>
      <c r="I23" s="29">
        <f>Data_Adj!AF23</f>
        <v>3</v>
      </c>
      <c r="J23" s="29">
        <v>2000</v>
      </c>
      <c r="K23" s="29">
        <f>Data_Adj!AO23</f>
        <v>0</v>
      </c>
      <c r="L23" s="29">
        <f>Data_Adj!Z23</f>
        <v>2</v>
      </c>
      <c r="M23" s="29">
        <f>Data_Adj!AL23</f>
        <v>4</v>
      </c>
    </row>
    <row r="24" spans="1:13" ht="15.75">
      <c r="A24" s="27">
        <v>22</v>
      </c>
      <c r="B24" s="29">
        <f>AVERAGE(Data_Adj!AV24:AX24)</f>
        <v>4.166666666666667</v>
      </c>
      <c r="C24" s="29">
        <v>8</v>
      </c>
      <c r="D24" s="29">
        <v>17</v>
      </c>
      <c r="E24" s="30">
        <v>3</v>
      </c>
      <c r="F24" s="29">
        <f>Data_Adj!H24</f>
        <v>4</v>
      </c>
      <c r="G24" s="29">
        <f>Data_Adj!N24</f>
        <v>4</v>
      </c>
      <c r="H24" s="29">
        <f>Data_Adj!T24</f>
        <v>4</v>
      </c>
      <c r="I24" s="29">
        <f>Data_Adj!AF24</f>
        <v>2</v>
      </c>
      <c r="J24" s="29">
        <v>1500</v>
      </c>
      <c r="K24" s="29">
        <f>Data_Adj!AO24</f>
        <v>0</v>
      </c>
      <c r="L24" s="29">
        <f>Data_Adj!Z24</f>
        <v>3</v>
      </c>
      <c r="M24" s="29">
        <f>Data_Adj!AL24</f>
        <v>3</v>
      </c>
    </row>
    <row r="25" spans="1:13" ht="15.75">
      <c r="A25" s="27">
        <v>23</v>
      </c>
      <c r="B25" s="29">
        <f>AVERAGE(Data_Adj!AV25:AX25)</f>
        <v>4.3666666666666663</v>
      </c>
      <c r="C25" s="29">
        <v>11</v>
      </c>
      <c r="D25" s="29">
        <v>22</v>
      </c>
      <c r="E25" s="30">
        <v>2.5</v>
      </c>
      <c r="F25" s="29">
        <f>Data_Adj!H25</f>
        <v>5</v>
      </c>
      <c r="G25" s="29">
        <f>Data_Adj!N25</f>
        <v>4</v>
      </c>
      <c r="H25" s="29">
        <f>Data_Adj!T25</f>
        <v>4</v>
      </c>
      <c r="I25" s="29">
        <f>Data_Adj!AF25</f>
        <v>1</v>
      </c>
      <c r="J25" s="29">
        <v>1200</v>
      </c>
      <c r="K25" s="29">
        <f>Data_Adj!AO25</f>
        <v>150</v>
      </c>
      <c r="L25" s="29">
        <f>Data_Adj!Z25</f>
        <v>4</v>
      </c>
      <c r="M25" s="29">
        <f>Data_Adj!AL25</f>
        <v>2</v>
      </c>
    </row>
    <row r="26" spans="1:13" ht="15.75">
      <c r="A26" s="27">
        <v>24</v>
      </c>
      <c r="B26" s="29">
        <f>AVERAGE(Data_Adj!AV26:AX26)</f>
        <v>4.25</v>
      </c>
      <c r="C26" s="29">
        <v>9</v>
      </c>
      <c r="D26" s="29">
        <v>17</v>
      </c>
      <c r="E26" s="30">
        <v>1.5</v>
      </c>
      <c r="F26" s="29">
        <f>Data_Adj!H26</f>
        <v>4</v>
      </c>
      <c r="G26" s="29">
        <f>Data_Adj!N26</f>
        <v>4</v>
      </c>
      <c r="H26" s="29">
        <f>Data_Adj!T26</f>
        <v>3</v>
      </c>
      <c r="I26" s="29">
        <f>Data_Adj!AF26</f>
        <v>1</v>
      </c>
      <c r="J26" s="29">
        <v>500</v>
      </c>
      <c r="K26" s="29">
        <f>Data_Adj!AO26</f>
        <v>320</v>
      </c>
      <c r="L26" s="29">
        <f>Data_Adj!Z26</f>
        <v>5</v>
      </c>
      <c r="M26" s="29">
        <f>Data_Adj!AL26</f>
        <v>3</v>
      </c>
    </row>
    <row r="27" spans="1:13" ht="15.75">
      <c r="A27" s="27">
        <v>25</v>
      </c>
      <c r="B27" s="29">
        <f>AVERAGE(Data_Adj!AV27:AX27)</f>
        <v>4.7</v>
      </c>
      <c r="C27" s="29">
        <v>7</v>
      </c>
      <c r="D27" s="29">
        <v>17</v>
      </c>
      <c r="E27" s="30">
        <v>5</v>
      </c>
      <c r="F27" s="29">
        <f>Data_Adj!H27</f>
        <v>2</v>
      </c>
      <c r="G27" s="29">
        <f>Data_Adj!N27</f>
        <v>3</v>
      </c>
      <c r="H27" s="29">
        <f>Data_Adj!T27</f>
        <v>0</v>
      </c>
      <c r="I27" s="29">
        <f>Data_Adj!AF27</f>
        <v>2</v>
      </c>
      <c r="J27" s="29">
        <v>2000</v>
      </c>
      <c r="K27" s="29">
        <f>Data_Adj!AO27</f>
        <v>2900</v>
      </c>
      <c r="L27" s="29">
        <f>Data_Adj!Z27</f>
        <v>1</v>
      </c>
      <c r="M27" s="29">
        <f>Data_Adj!AL27</f>
        <v>5</v>
      </c>
    </row>
    <row r="28" spans="1:13" ht="15.75">
      <c r="A28" s="27">
        <v>26</v>
      </c>
      <c r="B28" s="29">
        <f>AVERAGE(Data_Adj!AV28:AX28)</f>
        <v>4.4000000000000004</v>
      </c>
      <c r="C28" s="29">
        <v>8</v>
      </c>
      <c r="D28" s="29">
        <v>18</v>
      </c>
      <c r="E28" s="30">
        <v>6</v>
      </c>
      <c r="F28" s="29">
        <f>Data_Adj!H28</f>
        <v>2</v>
      </c>
      <c r="G28" s="29">
        <f>Data_Adj!N28</f>
        <v>3</v>
      </c>
      <c r="H28" s="29">
        <f>Data_Adj!T28</f>
        <v>0</v>
      </c>
      <c r="I28" s="29">
        <f>Data_Adj!AF28</f>
        <v>2</v>
      </c>
      <c r="J28" s="29">
        <v>2500</v>
      </c>
      <c r="K28" s="29">
        <f>Data_Adj!AO28</f>
        <v>3200</v>
      </c>
      <c r="L28" s="29">
        <f>Data_Adj!Z28</f>
        <v>1</v>
      </c>
      <c r="M28" s="29">
        <f>Data_Adj!AL28</f>
        <v>5</v>
      </c>
    </row>
    <row r="29" spans="1:13" ht="15.75">
      <c r="A29" s="27">
        <v>27</v>
      </c>
      <c r="B29" s="29">
        <f>AVERAGE(Data_Adj!AV29:AX29)</f>
        <v>4.7</v>
      </c>
      <c r="C29" s="29">
        <v>6</v>
      </c>
      <c r="D29" s="29">
        <v>18</v>
      </c>
      <c r="E29" s="30">
        <v>4</v>
      </c>
      <c r="F29" s="29">
        <f>Data_Adj!H29</f>
        <v>2</v>
      </c>
      <c r="G29" s="29">
        <f>Data_Adj!N29</f>
        <v>3</v>
      </c>
      <c r="H29" s="29">
        <f>Data_Adj!T29</f>
        <v>1</v>
      </c>
      <c r="I29" s="29">
        <f>Data_Adj!AF29</f>
        <v>3</v>
      </c>
      <c r="J29" s="29">
        <v>3000</v>
      </c>
      <c r="K29" s="29">
        <f>Data_Adj!AO29</f>
        <v>50</v>
      </c>
      <c r="L29" s="29">
        <f>Data_Adj!Z29</f>
        <v>1</v>
      </c>
      <c r="M29" s="29">
        <f>Data_Adj!AL29</f>
        <v>5</v>
      </c>
    </row>
    <row r="30" spans="1:13" ht="15.75">
      <c r="A30" s="27">
        <v>28</v>
      </c>
      <c r="B30" s="29">
        <f>AVERAGE(Data_Adj!AV30:AX30)</f>
        <v>4.5333333333333341</v>
      </c>
      <c r="C30" s="29">
        <v>8.5</v>
      </c>
      <c r="D30" s="29">
        <v>16.5</v>
      </c>
      <c r="E30" s="30">
        <v>2</v>
      </c>
      <c r="F30" s="29">
        <f>Data_Adj!H30</f>
        <v>4</v>
      </c>
      <c r="G30" s="29">
        <f>Data_Adj!N30</f>
        <v>5</v>
      </c>
      <c r="H30" s="29">
        <f>Data_Adj!T30</f>
        <v>1</v>
      </c>
      <c r="I30" s="29">
        <f>Data_Adj!AF30</f>
        <v>3</v>
      </c>
      <c r="J30" s="29">
        <v>1500</v>
      </c>
      <c r="K30" s="29">
        <f>Data_Adj!AO30</f>
        <v>0</v>
      </c>
      <c r="L30" s="29">
        <f>Data_Adj!Z30</f>
        <v>3</v>
      </c>
      <c r="M30" s="29">
        <f>Data_Adj!AL30</f>
        <v>4</v>
      </c>
    </row>
    <row r="31" spans="1:13" ht="15.75">
      <c r="A31" s="27">
        <v>29</v>
      </c>
      <c r="B31" s="29">
        <f>AVERAGE(Data_Adj!AV31:AX31)</f>
        <v>4.5</v>
      </c>
      <c r="C31" s="29">
        <v>8.5</v>
      </c>
      <c r="D31" s="29">
        <v>17</v>
      </c>
      <c r="E31" s="30">
        <v>2</v>
      </c>
      <c r="F31" s="29">
        <f>Data_Adj!H31</f>
        <v>5</v>
      </c>
      <c r="G31" s="29">
        <f>Data_Adj!N31</f>
        <v>5</v>
      </c>
      <c r="H31" s="29">
        <f>Data_Adj!T31</f>
        <v>4</v>
      </c>
      <c r="I31" s="29">
        <f>Data_Adj!AF31</f>
        <v>2</v>
      </c>
      <c r="J31" s="29">
        <v>1000</v>
      </c>
      <c r="K31" s="29">
        <f>Data_Adj!AO31</f>
        <v>86</v>
      </c>
      <c r="L31" s="29">
        <f>Data_Adj!Z31</f>
        <v>5</v>
      </c>
      <c r="M31" s="29">
        <f>Data_Adj!AL31</f>
        <v>4</v>
      </c>
    </row>
    <row r="32" spans="1:13" ht="15.75">
      <c r="A32" s="27">
        <v>30</v>
      </c>
      <c r="B32" s="29">
        <f>AVERAGE(Data_Adj!AV32:AX32)</f>
        <v>4.25</v>
      </c>
      <c r="C32" s="29">
        <v>0</v>
      </c>
      <c r="D32" s="29">
        <v>24</v>
      </c>
      <c r="E32" s="30">
        <v>3</v>
      </c>
      <c r="F32" s="29">
        <f>Data_Adj!H32</f>
        <v>2</v>
      </c>
      <c r="G32" s="29">
        <f>Data_Adj!N32</f>
        <v>2</v>
      </c>
      <c r="H32" s="29">
        <f>Data_Adj!T32</f>
        <v>0</v>
      </c>
      <c r="I32" s="29">
        <f>Data_Adj!AF32</f>
        <v>1</v>
      </c>
      <c r="J32" s="29">
        <v>2000</v>
      </c>
      <c r="K32" s="29">
        <f>Data_Adj!AO32</f>
        <v>0</v>
      </c>
      <c r="L32" s="29">
        <f>Data_Adj!Z32</f>
        <v>0</v>
      </c>
      <c r="M32" s="29">
        <f>Data_Adj!AL32</f>
        <v>5</v>
      </c>
    </row>
    <row r="33" spans="1:13" ht="15.75">
      <c r="A33" s="27">
        <v>31</v>
      </c>
      <c r="B33" s="29">
        <f>AVERAGE(Data_Adj!AV33:AX33)</f>
        <v>4.2333333333333334</v>
      </c>
      <c r="C33" s="29">
        <v>5</v>
      </c>
      <c r="D33" s="29">
        <v>18</v>
      </c>
      <c r="E33" s="30">
        <v>1</v>
      </c>
      <c r="F33" s="29">
        <f>Data_Adj!H33</f>
        <v>1</v>
      </c>
      <c r="G33" s="29">
        <f>Data_Adj!N33</f>
        <v>1</v>
      </c>
      <c r="H33" s="29">
        <f>Data_Adj!T33</f>
        <v>1</v>
      </c>
      <c r="I33" s="29">
        <f>Data_Adj!AF33</f>
        <v>2</v>
      </c>
      <c r="J33" s="29">
        <v>500</v>
      </c>
      <c r="K33" s="29">
        <f>Data_Adj!AO33</f>
        <v>0</v>
      </c>
      <c r="L33" s="29">
        <f>Data_Adj!Z33</f>
        <v>3</v>
      </c>
      <c r="M33" s="29">
        <f>Data_Adj!AL33</f>
        <v>1</v>
      </c>
    </row>
    <row r="34" spans="1:13" ht="15.75">
      <c r="A34" s="27">
        <v>32</v>
      </c>
      <c r="B34" s="29">
        <f>AVERAGE(Data_Adj!AV34:AX34)</f>
        <v>4.4333333333333336</v>
      </c>
      <c r="C34" s="29">
        <v>17</v>
      </c>
      <c r="D34" s="29">
        <v>22.5</v>
      </c>
      <c r="E34" s="30">
        <v>2</v>
      </c>
      <c r="F34" s="29">
        <f>Data_Adj!H34</f>
        <v>1</v>
      </c>
      <c r="G34" s="29">
        <f>Data_Adj!N34</f>
        <v>1</v>
      </c>
      <c r="H34" s="29">
        <f>Data_Adj!T34</f>
        <v>2</v>
      </c>
      <c r="I34" s="29">
        <f>Data_Adj!AF34</f>
        <v>2</v>
      </c>
      <c r="J34" s="29">
        <v>1500</v>
      </c>
      <c r="K34" s="29">
        <f>Data_Adj!AO34</f>
        <v>0</v>
      </c>
      <c r="L34" s="29">
        <f>Data_Adj!Z34</f>
        <v>3</v>
      </c>
      <c r="M34" s="29">
        <f>Data_Adj!AL34</f>
        <v>3</v>
      </c>
    </row>
    <row r="35" spans="1:13" ht="15.75">
      <c r="A35" s="27">
        <v>33</v>
      </c>
      <c r="B35" s="29">
        <f>AVERAGE(Data_Adj!AV35:AX35)</f>
        <v>4.3</v>
      </c>
      <c r="C35" s="29">
        <v>18</v>
      </c>
      <c r="D35" s="29">
        <v>23</v>
      </c>
      <c r="E35" s="30">
        <v>2</v>
      </c>
      <c r="F35" s="29">
        <f>Data_Adj!H35</f>
        <v>1</v>
      </c>
      <c r="G35" s="29">
        <f>Data_Adj!N35</f>
        <v>1</v>
      </c>
      <c r="H35" s="29">
        <f>Data_Adj!T35</f>
        <v>2</v>
      </c>
      <c r="I35" s="29">
        <f>Data_Adj!AF35</f>
        <v>3</v>
      </c>
      <c r="J35" s="29">
        <v>1200</v>
      </c>
      <c r="K35" s="29">
        <f>Data_Adj!AO35</f>
        <v>0</v>
      </c>
      <c r="L35" s="29">
        <f>Data_Adj!Z35</f>
        <v>3</v>
      </c>
      <c r="M35" s="29">
        <f>Data_Adj!AL35</f>
        <v>3</v>
      </c>
    </row>
    <row r="36" spans="1:13" ht="15.75">
      <c r="A36" s="27">
        <v>34</v>
      </c>
      <c r="B36" s="29">
        <f>AVERAGE(Data_Adj!AV36:AX36)</f>
        <v>4.5</v>
      </c>
      <c r="C36" s="29">
        <v>4</v>
      </c>
      <c r="D36" s="29">
        <v>24</v>
      </c>
      <c r="E36" s="30">
        <v>1</v>
      </c>
      <c r="F36" s="29">
        <f>Data_Adj!H36</f>
        <v>2</v>
      </c>
      <c r="G36" s="29">
        <f>Data_Adj!N36</f>
        <v>4</v>
      </c>
      <c r="H36" s="29">
        <f>Data_Adj!T36</f>
        <v>2</v>
      </c>
      <c r="I36" s="29">
        <f>Data_Adj!AF36</f>
        <v>2</v>
      </c>
      <c r="J36" s="29">
        <v>400</v>
      </c>
      <c r="K36" s="29">
        <f>Data_Adj!AO36</f>
        <v>0</v>
      </c>
      <c r="L36" s="29">
        <f>Data_Adj!Z36</f>
        <v>2</v>
      </c>
      <c r="M36" s="29">
        <f>Data_Adj!AL36</f>
        <v>3</v>
      </c>
    </row>
    <row r="37" spans="1:13" ht="15.75">
      <c r="A37" s="27">
        <v>35</v>
      </c>
      <c r="B37" s="29">
        <f>AVERAGE(Data_Adj!AV37:AX37)</f>
        <v>3.9</v>
      </c>
      <c r="C37" s="29">
        <v>5</v>
      </c>
      <c r="D37" s="29">
        <v>17</v>
      </c>
      <c r="E37" s="30">
        <v>1</v>
      </c>
      <c r="F37" s="29">
        <f>Data_Adj!H37</f>
        <v>4</v>
      </c>
      <c r="G37" s="29">
        <f>Data_Adj!N37</f>
        <v>4</v>
      </c>
      <c r="H37" s="29">
        <f>Data_Adj!T37</f>
        <v>2</v>
      </c>
      <c r="I37" s="29">
        <f>Data_Adj!AF37</f>
        <v>2</v>
      </c>
      <c r="J37" s="29">
        <v>400</v>
      </c>
      <c r="K37" s="29">
        <f>Data_Adj!AO37</f>
        <v>0</v>
      </c>
      <c r="L37" s="29">
        <f>Data_Adj!Z37</f>
        <v>3</v>
      </c>
      <c r="M37" s="29">
        <f>Data_Adj!AL37</f>
        <v>3</v>
      </c>
    </row>
    <row r="38" spans="1:13" ht="15.75">
      <c r="A38" s="27">
        <v>36</v>
      </c>
      <c r="B38" s="29">
        <f>AVERAGE(Data_Adj!AV38:AX38)</f>
        <v>4.2</v>
      </c>
      <c r="C38" s="29">
        <v>9</v>
      </c>
      <c r="D38" s="29">
        <v>17</v>
      </c>
      <c r="E38" s="30">
        <v>1.5</v>
      </c>
      <c r="F38" s="29">
        <f>Data_Adj!H38</f>
        <v>3</v>
      </c>
      <c r="G38" s="29">
        <f>Data_Adj!N38</f>
        <v>5</v>
      </c>
      <c r="H38" s="29">
        <f>Data_Adj!T38</f>
        <v>2</v>
      </c>
      <c r="I38" s="29">
        <f>Data_Adj!AF38</f>
        <v>5</v>
      </c>
      <c r="J38" s="29">
        <v>700</v>
      </c>
      <c r="K38" s="29">
        <f>Data_Adj!AO38</f>
        <v>0</v>
      </c>
      <c r="L38" s="29">
        <f>Data_Adj!Z38</f>
        <v>4</v>
      </c>
      <c r="M38" s="29">
        <f>Data_Adj!AL38</f>
        <v>3</v>
      </c>
    </row>
    <row r="39" spans="1:13" ht="15.75">
      <c r="A39" s="27">
        <v>37</v>
      </c>
      <c r="B39" s="29">
        <f>AVERAGE(Data_Adj!AV39:AX39)</f>
        <v>4.166666666666667</v>
      </c>
      <c r="C39" s="29">
        <v>8</v>
      </c>
      <c r="D39" s="29">
        <v>17</v>
      </c>
      <c r="E39" s="30">
        <v>1</v>
      </c>
      <c r="F39" s="29">
        <f>Data_Adj!H39</f>
        <v>3</v>
      </c>
      <c r="G39" s="29">
        <f>Data_Adj!N39</f>
        <v>5</v>
      </c>
      <c r="H39" s="29">
        <f>Data_Adj!T39</f>
        <v>3</v>
      </c>
      <c r="I39" s="29">
        <f>Data_Adj!AF39</f>
        <v>4</v>
      </c>
      <c r="J39" s="29">
        <v>500</v>
      </c>
      <c r="K39" s="29">
        <f>Data_Adj!AO39</f>
        <v>0</v>
      </c>
      <c r="L39" s="29">
        <f>Data_Adj!Z39</f>
        <v>5</v>
      </c>
      <c r="M39" s="29">
        <f>Data_Adj!AL39</f>
        <v>3</v>
      </c>
    </row>
    <row r="40" spans="1:13" ht="15.75">
      <c r="A40" s="27">
        <v>38</v>
      </c>
      <c r="B40" s="29">
        <f>AVERAGE(Data_Adj!AV40:AX40)</f>
        <v>4</v>
      </c>
      <c r="C40" s="29">
        <v>8.5</v>
      </c>
      <c r="D40" s="29">
        <v>17.5</v>
      </c>
      <c r="E40" s="30">
        <v>1.5</v>
      </c>
      <c r="F40" s="29">
        <f>Data_Adj!H40</f>
        <v>3</v>
      </c>
      <c r="G40" s="29">
        <f>Data_Adj!N40</f>
        <v>5</v>
      </c>
      <c r="H40" s="29">
        <f>Data_Adj!T40</f>
        <v>3</v>
      </c>
      <c r="I40" s="29">
        <f>Data_Adj!AF40</f>
        <v>4</v>
      </c>
      <c r="J40" s="29">
        <v>800</v>
      </c>
      <c r="K40" s="29">
        <f>Data_Adj!AO40</f>
        <v>0</v>
      </c>
      <c r="L40" s="29">
        <f>Data_Adj!Z40</f>
        <v>5</v>
      </c>
      <c r="M40" s="29">
        <f>Data_Adj!AL40</f>
        <v>3</v>
      </c>
    </row>
    <row r="41" spans="1:13" ht="15.75">
      <c r="A41" s="27">
        <v>39</v>
      </c>
      <c r="B41" s="29">
        <f>AVERAGE(Data_Adj!AV41:AX41)</f>
        <v>4.4666666666666668</v>
      </c>
      <c r="C41" s="29">
        <v>11</v>
      </c>
      <c r="D41" s="29">
        <v>21</v>
      </c>
      <c r="E41" s="30">
        <v>1.5</v>
      </c>
      <c r="F41" s="29">
        <f>Data_Adj!H41</f>
        <v>5</v>
      </c>
      <c r="G41" s="29">
        <f>Data_Adj!N41</f>
        <v>4</v>
      </c>
      <c r="H41" s="29">
        <f>Data_Adj!T41</f>
        <v>5</v>
      </c>
      <c r="I41" s="29">
        <f>Data_Adj!AF41</f>
        <v>2</v>
      </c>
      <c r="J41" s="29">
        <v>500</v>
      </c>
      <c r="K41" s="29">
        <f>Data_Adj!AO41</f>
        <v>0</v>
      </c>
      <c r="L41" s="29">
        <f>Data_Adj!Z41</f>
        <v>5</v>
      </c>
      <c r="M41" s="29">
        <f>Data_Adj!AL41</f>
        <v>3</v>
      </c>
    </row>
    <row r="42" spans="1:13" ht="15.75">
      <c r="A42" s="27">
        <v>40</v>
      </c>
      <c r="B42" s="29">
        <f>AVERAGE(Data_Adj!AV42:AX42)</f>
        <v>4.3666666666666663</v>
      </c>
      <c r="C42" s="29">
        <v>6</v>
      </c>
      <c r="D42" s="29">
        <v>22</v>
      </c>
      <c r="E42" s="30">
        <v>1.5</v>
      </c>
      <c r="F42" s="29">
        <f>Data_Adj!H42</f>
        <v>5</v>
      </c>
      <c r="G42" s="29">
        <f>Data_Adj!N42</f>
        <v>5</v>
      </c>
      <c r="H42" s="29">
        <f>Data_Adj!T42</f>
        <v>5</v>
      </c>
      <c r="I42" s="29">
        <f>Data_Adj!AF42</f>
        <v>2</v>
      </c>
      <c r="J42" s="29">
        <v>600</v>
      </c>
      <c r="K42" s="29">
        <f>Data_Adj!AO42</f>
        <v>0</v>
      </c>
      <c r="L42" s="29">
        <f>Data_Adj!Z42</f>
        <v>5</v>
      </c>
      <c r="M42" s="29">
        <f>Data_Adj!AL42</f>
        <v>3</v>
      </c>
    </row>
    <row r="43" spans="1:13" ht="15.75">
      <c r="A43" s="27">
        <v>41</v>
      </c>
      <c r="B43" s="29">
        <f>AVERAGE(Data_Adj!AV43:AX43)</f>
        <v>4.4333333333333336</v>
      </c>
      <c r="C43" s="29">
        <v>8</v>
      </c>
      <c r="D43" s="29">
        <v>18</v>
      </c>
      <c r="E43" s="30">
        <v>2</v>
      </c>
      <c r="F43" s="29">
        <f>Data_Adj!H43</f>
        <v>5</v>
      </c>
      <c r="G43" s="29">
        <f>Data_Adj!N43</f>
        <v>5</v>
      </c>
      <c r="H43" s="29">
        <f>Data_Adj!T43</f>
        <v>4</v>
      </c>
      <c r="I43" s="29">
        <f>Data_Adj!AF43</f>
        <v>4</v>
      </c>
      <c r="J43" s="29">
        <v>1500</v>
      </c>
      <c r="K43" s="29">
        <f>Data_Adj!AO43</f>
        <v>70</v>
      </c>
      <c r="L43" s="29">
        <f>Data_Adj!Z43</f>
        <v>4</v>
      </c>
      <c r="M43" s="29">
        <f>Data_Adj!AL43</f>
        <v>5</v>
      </c>
    </row>
    <row r="44" spans="1:13" ht="15.75">
      <c r="A44" s="27">
        <v>42</v>
      </c>
      <c r="B44" s="29">
        <f>AVERAGE(Data_Adj!AV44:AX44)</f>
        <v>4.3999999999999995</v>
      </c>
      <c r="C44" s="29">
        <v>6.5</v>
      </c>
      <c r="D44" s="29">
        <v>18</v>
      </c>
      <c r="E44" s="30">
        <v>2</v>
      </c>
      <c r="F44" s="29">
        <f>Data_Adj!H44</f>
        <v>3</v>
      </c>
      <c r="G44" s="29">
        <f>Data_Adj!N44</f>
        <v>5</v>
      </c>
      <c r="H44" s="29">
        <f>Data_Adj!T44</f>
        <v>1</v>
      </c>
      <c r="I44" s="29">
        <f>Data_Adj!AF44</f>
        <v>2</v>
      </c>
      <c r="J44" s="29">
        <v>1200</v>
      </c>
      <c r="K44" s="29">
        <f>Data_Adj!AO44</f>
        <v>20</v>
      </c>
      <c r="L44" s="29">
        <f>Data_Adj!Z44</f>
        <v>4</v>
      </c>
      <c r="M44" s="29">
        <f>Data_Adj!AL44</f>
        <v>5</v>
      </c>
    </row>
    <row r="45" spans="1:13" ht="15.75">
      <c r="A45" s="27">
        <v>43</v>
      </c>
      <c r="B45" s="29">
        <f>AVERAGE(Data_Adj!AV45:AX45)</f>
        <v>4.5999999999999996</v>
      </c>
      <c r="C45" s="29">
        <v>6</v>
      </c>
      <c r="D45" s="29">
        <v>19</v>
      </c>
      <c r="E45" s="30">
        <v>3</v>
      </c>
      <c r="F45" s="29">
        <f>Data_Adj!H45</f>
        <v>3</v>
      </c>
      <c r="G45" s="29">
        <f>Data_Adj!N45</f>
        <v>5</v>
      </c>
      <c r="H45" s="29">
        <f>Data_Adj!T45</f>
        <v>2</v>
      </c>
      <c r="I45" s="29">
        <f>Data_Adj!AF45</f>
        <v>4</v>
      </c>
      <c r="J45" s="29">
        <v>2000</v>
      </c>
      <c r="K45" s="29">
        <f>Data_Adj!AO45</f>
        <v>0</v>
      </c>
      <c r="L45" s="29">
        <f>Data_Adj!Z45</f>
        <v>2</v>
      </c>
      <c r="M45" s="29">
        <f>Data_Adj!AL45</f>
        <v>5</v>
      </c>
    </row>
    <row r="46" spans="1:13" ht="15.75">
      <c r="A46" s="27">
        <v>44</v>
      </c>
      <c r="B46" s="29">
        <f>AVERAGE(Data_Adj!AV46:AX46)</f>
        <v>4.7</v>
      </c>
      <c r="C46" s="29">
        <v>8.5</v>
      </c>
      <c r="D46" s="29">
        <v>17</v>
      </c>
      <c r="E46" s="30">
        <v>2</v>
      </c>
      <c r="F46" s="29">
        <f>Data_Adj!H46</f>
        <v>3</v>
      </c>
      <c r="G46" s="29">
        <f>Data_Adj!N46</f>
        <v>3</v>
      </c>
      <c r="H46" s="29">
        <f>Data_Adj!T46</f>
        <v>0</v>
      </c>
      <c r="I46" s="29">
        <f>Data_Adj!AF46</f>
        <v>1</v>
      </c>
      <c r="J46" s="29">
        <v>1500</v>
      </c>
      <c r="K46" s="29">
        <f>Data_Adj!AO46</f>
        <v>0</v>
      </c>
      <c r="L46" s="29">
        <f>Data_Adj!Z46</f>
        <v>1</v>
      </c>
      <c r="M46" s="29">
        <f>Data_Adj!AL46</f>
        <v>4</v>
      </c>
    </row>
    <row r="47" spans="1:13" ht="15.75">
      <c r="A47" s="27">
        <v>45</v>
      </c>
      <c r="B47" s="29">
        <f>AVERAGE(Data_Adj!AV47:AX47)</f>
        <v>4.4666666666666659</v>
      </c>
      <c r="C47" s="29">
        <v>6</v>
      </c>
      <c r="D47" s="29">
        <v>16.5</v>
      </c>
      <c r="E47" s="30">
        <v>1</v>
      </c>
      <c r="F47" s="29">
        <f>Data_Adj!H47</f>
        <v>3</v>
      </c>
      <c r="G47" s="29">
        <f>Data_Adj!N47</f>
        <v>5</v>
      </c>
      <c r="H47" s="29">
        <f>Data_Adj!T47</f>
        <v>1</v>
      </c>
      <c r="I47" s="29">
        <f>Data_Adj!AF47</f>
        <v>2</v>
      </c>
      <c r="J47" s="29">
        <v>1000</v>
      </c>
      <c r="K47" s="29">
        <f>Data_Adj!AO47</f>
        <v>50</v>
      </c>
      <c r="L47" s="29">
        <f>Data_Adj!Z47</f>
        <v>3</v>
      </c>
      <c r="M47" s="29">
        <f>Data_Adj!AL47</f>
        <v>4</v>
      </c>
    </row>
    <row r="48" spans="1:13" ht="15.75">
      <c r="A48" s="27">
        <v>46</v>
      </c>
      <c r="B48" s="29">
        <f>AVERAGE(Data_Adj!AV48:AX48)</f>
        <v>4.3</v>
      </c>
      <c r="C48" s="29">
        <v>8.5</v>
      </c>
      <c r="D48" s="29">
        <v>15.5</v>
      </c>
      <c r="E48" s="30">
        <v>1.5</v>
      </c>
      <c r="F48" s="29">
        <f>Data_Adj!H48</f>
        <v>4</v>
      </c>
      <c r="G48" s="29">
        <f>Data_Adj!N48</f>
        <v>5</v>
      </c>
      <c r="H48" s="29">
        <f>Data_Adj!T48</f>
        <v>2</v>
      </c>
      <c r="I48" s="29">
        <f>Data_Adj!AF48</f>
        <v>3</v>
      </c>
      <c r="J48" s="29">
        <v>1000</v>
      </c>
      <c r="K48" s="29">
        <f>Data_Adj!AO48</f>
        <v>20</v>
      </c>
      <c r="L48" s="29">
        <f>Data_Adj!Z48</f>
        <v>4</v>
      </c>
      <c r="M48" s="29">
        <f>Data_Adj!AL48</f>
        <v>4</v>
      </c>
    </row>
    <row r="49" spans="1:13" ht="15.75">
      <c r="A49" s="27">
        <v>47</v>
      </c>
      <c r="B49" s="29">
        <f>AVERAGE(Data_Adj!AV49:AX49)</f>
        <v>4.1000000000000005</v>
      </c>
      <c r="C49" s="29">
        <v>6</v>
      </c>
      <c r="D49" s="29">
        <v>18</v>
      </c>
      <c r="E49" s="30">
        <v>1</v>
      </c>
      <c r="F49" s="29">
        <f>Data_Adj!H49</f>
        <v>2</v>
      </c>
      <c r="G49" s="29">
        <f>Data_Adj!N49</f>
        <v>3</v>
      </c>
      <c r="H49" s="29">
        <f>Data_Adj!T49</f>
        <v>0</v>
      </c>
      <c r="I49" s="29">
        <f>Data_Adj!AF49</f>
        <v>0</v>
      </c>
      <c r="J49" s="29">
        <v>800</v>
      </c>
      <c r="K49" s="29">
        <f>Data_Adj!AO49</f>
        <v>0</v>
      </c>
      <c r="L49" s="29">
        <f>Data_Adj!Z49</f>
        <v>1</v>
      </c>
      <c r="M49" s="29">
        <f>Data_Adj!AL49</f>
        <v>3</v>
      </c>
    </row>
    <row r="50" spans="1:13" ht="15.75">
      <c r="A50" s="27">
        <v>48</v>
      </c>
      <c r="B50" s="29">
        <f>AVERAGE(Data_Adj!AV50:AX50)</f>
        <v>4.5</v>
      </c>
      <c r="C50" s="29">
        <v>8</v>
      </c>
      <c r="D50" s="29">
        <v>17</v>
      </c>
      <c r="E50" s="30">
        <v>2</v>
      </c>
      <c r="F50" s="29">
        <f>Data_Adj!H50</f>
        <v>3</v>
      </c>
      <c r="G50" s="29">
        <f>Data_Adj!N50</f>
        <v>3</v>
      </c>
      <c r="H50" s="29">
        <f>Data_Adj!T50</f>
        <v>1</v>
      </c>
      <c r="I50" s="29">
        <f>Data_Adj!AF50</f>
        <v>1</v>
      </c>
      <c r="J50" s="29">
        <v>1000</v>
      </c>
      <c r="K50" s="29">
        <f>Data_Adj!AO50</f>
        <v>0</v>
      </c>
      <c r="L50" s="29">
        <f>Data_Adj!Z50</f>
        <v>2</v>
      </c>
      <c r="M50" s="29">
        <f>Data_Adj!AL50</f>
        <v>3</v>
      </c>
    </row>
    <row r="51" spans="1:13" ht="15.75">
      <c r="A51" s="27">
        <v>49</v>
      </c>
      <c r="B51" s="29">
        <f>AVERAGE(Data_Adj!AV51:AX51)</f>
        <v>4.333333333333333</v>
      </c>
      <c r="C51" s="29">
        <v>8</v>
      </c>
      <c r="D51" s="29">
        <v>16.5</v>
      </c>
      <c r="E51" s="30">
        <v>2</v>
      </c>
      <c r="F51" s="29">
        <f>Data_Adj!H51</f>
        <v>3</v>
      </c>
      <c r="G51" s="29">
        <f>Data_Adj!N51</f>
        <v>3</v>
      </c>
      <c r="H51" s="29">
        <f>Data_Adj!T51</f>
        <v>1</v>
      </c>
      <c r="I51" s="29">
        <f>Data_Adj!AF51</f>
        <v>1</v>
      </c>
      <c r="J51" s="29">
        <v>1500</v>
      </c>
      <c r="K51" s="29">
        <f>Data_Adj!AO51</f>
        <v>20</v>
      </c>
      <c r="L51" s="29">
        <f>Data_Adj!Z51</f>
        <v>1</v>
      </c>
      <c r="M51" s="29">
        <f>Data_Adj!AL51</f>
        <v>3</v>
      </c>
    </row>
    <row r="52" spans="1:13" ht="15.75">
      <c r="A52" s="27">
        <v>50</v>
      </c>
      <c r="B52" s="29">
        <f>AVERAGE(Data_Adj!AV52:AX52)</f>
        <v>4.6500000000000004</v>
      </c>
      <c r="C52" s="29">
        <v>6</v>
      </c>
      <c r="D52" s="29">
        <v>18</v>
      </c>
      <c r="E52" s="30">
        <v>3</v>
      </c>
      <c r="F52" s="29">
        <f>Data_Adj!H52</f>
        <v>3</v>
      </c>
      <c r="G52" s="29">
        <f>Data_Adj!N52</f>
        <v>5</v>
      </c>
      <c r="H52" s="29">
        <f>Data_Adj!T52</f>
        <v>1</v>
      </c>
      <c r="I52" s="29">
        <f>Data_Adj!AF52</f>
        <v>5</v>
      </c>
      <c r="J52" s="29">
        <v>2000</v>
      </c>
      <c r="K52" s="29">
        <f>Data_Adj!AO52</f>
        <v>0</v>
      </c>
      <c r="L52" s="29">
        <f>Data_Adj!Z52</f>
        <v>2</v>
      </c>
      <c r="M52" s="29">
        <f>Data_Adj!AL52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C7E-6D4C-9F4D-8805-739E24DB83EC}">
  <dimension ref="A1:AZ52"/>
  <sheetViews>
    <sheetView zoomScale="95" zoomScaleNormal="95" workbookViewId="0">
      <selection activeCell="P13" sqref="P13"/>
    </sheetView>
  </sheetViews>
  <sheetFormatPr defaultColWidth="11.5546875" defaultRowHeight="15"/>
  <cols>
    <col min="2" max="16" width="12.6640625" bestFit="1" customWidth="1"/>
    <col min="17" max="17" width="13.6640625" bestFit="1" customWidth="1"/>
    <col min="18" max="28" width="12.6640625" bestFit="1" customWidth="1"/>
    <col min="29" max="29" width="13.6640625" bestFit="1" customWidth="1"/>
    <col min="30" max="30" width="12.6640625" bestFit="1" customWidth="1"/>
    <col min="31" max="31" width="13.6640625" bestFit="1" customWidth="1"/>
    <col min="32" max="38" width="12.6640625" bestFit="1" customWidth="1"/>
    <col min="39" max="40" width="13.6640625" bestFit="1" customWidth="1"/>
    <col min="41" max="46" width="12.6640625" bestFit="1" customWidth="1"/>
    <col min="47" max="47" width="13.6640625" bestFit="1" customWidth="1"/>
    <col min="48" max="49" width="12.6640625" bestFit="1" customWidth="1"/>
    <col min="50" max="50" width="13.6640625" bestFit="1" customWidth="1"/>
    <col min="51" max="51" width="12.6640625" bestFit="1" customWidth="1"/>
    <col min="52" max="52" width="13.6640625" bestFit="1" customWidth="1"/>
  </cols>
  <sheetData>
    <row r="1" spans="1:52">
      <c r="A1" s="31" t="s">
        <v>214</v>
      </c>
      <c r="B1" s="31">
        <v>0</v>
      </c>
      <c r="C1" s="31">
        <v>1</v>
      </c>
      <c r="D1" s="31">
        <v>2</v>
      </c>
      <c r="E1" s="31">
        <v>3</v>
      </c>
      <c r="F1" s="31">
        <v>4</v>
      </c>
      <c r="G1" s="31">
        <v>5</v>
      </c>
      <c r="H1" s="31">
        <v>6</v>
      </c>
      <c r="I1" s="31">
        <v>7</v>
      </c>
      <c r="J1" s="31">
        <v>8</v>
      </c>
      <c r="K1" s="31">
        <v>9</v>
      </c>
      <c r="L1" s="31">
        <v>10</v>
      </c>
      <c r="M1" s="31">
        <v>11</v>
      </c>
      <c r="N1" s="31">
        <v>12</v>
      </c>
      <c r="O1" s="31">
        <v>13</v>
      </c>
      <c r="P1" s="31">
        <v>14</v>
      </c>
      <c r="Q1" s="31">
        <v>15</v>
      </c>
      <c r="R1" s="31">
        <v>16</v>
      </c>
      <c r="S1" s="31">
        <v>17</v>
      </c>
      <c r="T1" s="31">
        <v>18</v>
      </c>
      <c r="U1" s="31">
        <v>19</v>
      </c>
      <c r="V1" s="31">
        <v>20</v>
      </c>
      <c r="W1" s="31">
        <v>21</v>
      </c>
      <c r="X1" s="31">
        <v>22</v>
      </c>
      <c r="Y1" s="31">
        <v>23</v>
      </c>
      <c r="Z1" s="31">
        <v>24</v>
      </c>
      <c r="AA1" s="31">
        <v>25</v>
      </c>
      <c r="AB1" s="31">
        <v>26</v>
      </c>
      <c r="AC1" s="31">
        <v>27</v>
      </c>
      <c r="AD1" s="31">
        <v>28</v>
      </c>
      <c r="AE1" s="31">
        <v>29</v>
      </c>
      <c r="AF1" s="31">
        <v>30</v>
      </c>
      <c r="AG1" s="31">
        <v>31</v>
      </c>
      <c r="AH1" s="31">
        <v>32</v>
      </c>
      <c r="AI1" s="31">
        <v>33</v>
      </c>
      <c r="AJ1" s="31">
        <v>34</v>
      </c>
      <c r="AK1" s="31">
        <v>35</v>
      </c>
      <c r="AL1" s="31">
        <v>36</v>
      </c>
      <c r="AM1" s="31">
        <v>37</v>
      </c>
      <c r="AN1" s="31">
        <v>38</v>
      </c>
      <c r="AO1" s="31">
        <v>39</v>
      </c>
      <c r="AP1" s="31">
        <v>40</v>
      </c>
      <c r="AQ1" s="31">
        <v>41</v>
      </c>
      <c r="AR1" s="31">
        <v>42</v>
      </c>
      <c r="AS1" s="31">
        <v>43</v>
      </c>
      <c r="AT1" s="31">
        <v>44</v>
      </c>
      <c r="AU1" s="31">
        <v>45</v>
      </c>
      <c r="AV1" s="31">
        <v>46</v>
      </c>
      <c r="AW1" s="31">
        <v>47</v>
      </c>
      <c r="AX1" s="31">
        <v>48</v>
      </c>
      <c r="AY1" s="31">
        <v>49</v>
      </c>
      <c r="AZ1" s="31">
        <v>50</v>
      </c>
    </row>
    <row r="2" spans="1:52">
      <c r="A2" s="31">
        <v>0</v>
      </c>
      <c r="B2" s="32">
        <v>9999</v>
      </c>
      <c r="C2" s="32">
        <v>23.000000000000004</v>
      </c>
      <c r="D2" s="32">
        <v>19</v>
      </c>
      <c r="E2" s="32">
        <v>12</v>
      </c>
      <c r="F2" s="32">
        <v>12</v>
      </c>
      <c r="G2" s="32">
        <v>12</v>
      </c>
      <c r="H2" s="32">
        <v>10</v>
      </c>
      <c r="I2" s="32">
        <v>13.000000000000002</v>
      </c>
      <c r="J2" s="32">
        <v>16</v>
      </c>
      <c r="K2" s="32">
        <v>14</v>
      </c>
      <c r="L2" s="32">
        <v>15</v>
      </c>
      <c r="M2" s="32">
        <v>14</v>
      </c>
      <c r="N2" s="32">
        <v>13.000000000000002</v>
      </c>
      <c r="O2" s="32">
        <v>7</v>
      </c>
      <c r="P2" s="32">
        <v>9</v>
      </c>
      <c r="Q2" s="32">
        <v>24</v>
      </c>
      <c r="R2" s="32">
        <v>17</v>
      </c>
      <c r="S2" s="32">
        <v>13.000000000000002</v>
      </c>
      <c r="T2" s="32">
        <v>6</v>
      </c>
      <c r="U2" s="32">
        <v>29.000000000000004</v>
      </c>
      <c r="V2" s="32">
        <v>9</v>
      </c>
      <c r="W2" s="32">
        <v>25</v>
      </c>
      <c r="X2" s="32">
        <v>4</v>
      </c>
      <c r="Y2" s="32">
        <v>20.999999999999996</v>
      </c>
      <c r="Z2" s="32">
        <v>23.000000000000004</v>
      </c>
      <c r="AA2" s="32">
        <v>36</v>
      </c>
      <c r="AB2" s="32">
        <v>48</v>
      </c>
      <c r="AC2" s="32">
        <v>116.00000000000001</v>
      </c>
      <c r="AD2" s="32">
        <v>36</v>
      </c>
      <c r="AE2" s="32">
        <v>26.000000000000004</v>
      </c>
      <c r="AF2" s="32">
        <v>60.999999999999993</v>
      </c>
      <c r="AG2" s="32">
        <v>15</v>
      </c>
      <c r="AH2" s="32">
        <v>12</v>
      </c>
      <c r="AI2" s="32">
        <v>12</v>
      </c>
      <c r="AJ2" s="32">
        <v>14</v>
      </c>
      <c r="AK2" s="32">
        <v>15</v>
      </c>
      <c r="AL2" s="32">
        <v>27</v>
      </c>
      <c r="AM2" s="32">
        <v>33</v>
      </c>
      <c r="AN2" s="32">
        <v>34</v>
      </c>
      <c r="AO2" s="32">
        <v>5</v>
      </c>
      <c r="AP2" s="32">
        <v>10</v>
      </c>
      <c r="AQ2" s="32">
        <v>18</v>
      </c>
      <c r="AR2" s="32">
        <v>17</v>
      </c>
      <c r="AS2" s="32">
        <v>20.999999999999996</v>
      </c>
      <c r="AT2" s="32">
        <v>43</v>
      </c>
      <c r="AU2" s="32">
        <v>118</v>
      </c>
      <c r="AV2" s="32">
        <v>13.000000000000002</v>
      </c>
      <c r="AW2" s="32">
        <v>6</v>
      </c>
      <c r="AX2" s="32">
        <v>58.000000000000007</v>
      </c>
      <c r="AY2" s="32">
        <v>37</v>
      </c>
      <c r="AZ2" s="32">
        <v>64</v>
      </c>
    </row>
    <row r="3" spans="1:52">
      <c r="A3" s="31">
        <v>1</v>
      </c>
      <c r="B3" s="32">
        <v>23.000000000000004</v>
      </c>
      <c r="C3" s="32">
        <v>9999</v>
      </c>
      <c r="D3" s="32">
        <v>32</v>
      </c>
      <c r="E3" s="32">
        <v>30</v>
      </c>
      <c r="F3" s="32">
        <v>31.000000000000004</v>
      </c>
      <c r="G3" s="32">
        <v>30</v>
      </c>
      <c r="H3" s="32">
        <v>28</v>
      </c>
      <c r="I3" s="32">
        <v>32</v>
      </c>
      <c r="J3" s="32">
        <v>35</v>
      </c>
      <c r="K3" s="32">
        <v>33</v>
      </c>
      <c r="L3" s="32">
        <v>34</v>
      </c>
      <c r="M3" s="32">
        <v>33</v>
      </c>
      <c r="N3" s="32">
        <v>40</v>
      </c>
      <c r="O3" s="32">
        <v>26.000000000000004</v>
      </c>
      <c r="P3" s="32">
        <v>28</v>
      </c>
      <c r="Q3" s="32">
        <v>43</v>
      </c>
      <c r="R3" s="32">
        <v>36</v>
      </c>
      <c r="S3" s="32">
        <v>32</v>
      </c>
      <c r="T3" s="32">
        <v>25</v>
      </c>
      <c r="U3" s="32">
        <v>48</v>
      </c>
      <c r="V3" s="32">
        <v>28</v>
      </c>
      <c r="W3" s="32">
        <v>44</v>
      </c>
      <c r="X3" s="32">
        <v>19</v>
      </c>
      <c r="Y3" s="32">
        <v>40</v>
      </c>
      <c r="Z3" s="32">
        <v>41.999999999999993</v>
      </c>
      <c r="AA3" s="32">
        <v>48</v>
      </c>
      <c r="AB3" s="32">
        <v>67</v>
      </c>
      <c r="AC3" s="32">
        <v>135</v>
      </c>
      <c r="AD3" s="32">
        <v>54.999999999999993</v>
      </c>
      <c r="AE3" s="32">
        <v>45</v>
      </c>
      <c r="AF3" s="32">
        <v>80</v>
      </c>
      <c r="AG3" s="32">
        <v>34</v>
      </c>
      <c r="AH3" s="32">
        <v>31.000000000000004</v>
      </c>
      <c r="AI3" s="32">
        <v>31.000000000000004</v>
      </c>
      <c r="AJ3" s="32">
        <v>33</v>
      </c>
      <c r="AK3" s="32">
        <v>43</v>
      </c>
      <c r="AL3" s="32">
        <v>46.000000000000007</v>
      </c>
      <c r="AM3" s="32">
        <v>52.000000000000007</v>
      </c>
      <c r="AN3" s="32">
        <v>53</v>
      </c>
      <c r="AO3" s="32">
        <v>24</v>
      </c>
      <c r="AP3" s="32">
        <v>29.000000000000004</v>
      </c>
      <c r="AQ3" s="32">
        <v>37</v>
      </c>
      <c r="AR3" s="32">
        <v>35</v>
      </c>
      <c r="AS3" s="32">
        <v>2</v>
      </c>
      <c r="AT3" s="32">
        <v>62.000000000000007</v>
      </c>
      <c r="AU3" s="32">
        <v>137</v>
      </c>
      <c r="AV3" s="32">
        <v>17</v>
      </c>
      <c r="AW3" s="32">
        <v>22</v>
      </c>
      <c r="AX3" s="32">
        <v>73.000000000000014</v>
      </c>
      <c r="AY3" s="32">
        <v>56</v>
      </c>
      <c r="AZ3" s="32">
        <v>83</v>
      </c>
    </row>
    <row r="4" spans="1:52">
      <c r="A4" s="31">
        <v>2</v>
      </c>
      <c r="B4" s="32">
        <v>11</v>
      </c>
      <c r="C4" s="32">
        <v>33</v>
      </c>
      <c r="D4" s="32">
        <v>9999</v>
      </c>
      <c r="E4" s="32">
        <v>2</v>
      </c>
      <c r="F4" s="32">
        <v>16</v>
      </c>
      <c r="G4" s="32">
        <v>4</v>
      </c>
      <c r="H4" s="32">
        <v>9</v>
      </c>
      <c r="I4" s="32">
        <v>4</v>
      </c>
      <c r="J4" s="32">
        <v>8</v>
      </c>
      <c r="K4" s="32">
        <v>8</v>
      </c>
      <c r="L4" s="32">
        <v>10</v>
      </c>
      <c r="M4" s="32">
        <v>3</v>
      </c>
      <c r="N4" s="32">
        <v>3</v>
      </c>
      <c r="O4" s="32">
        <v>11</v>
      </c>
      <c r="P4" s="32">
        <v>14</v>
      </c>
      <c r="Q4" s="32">
        <v>26.000000000000004</v>
      </c>
      <c r="R4" s="32">
        <v>10</v>
      </c>
      <c r="S4" s="32">
        <v>3</v>
      </c>
      <c r="T4" s="32">
        <v>8</v>
      </c>
      <c r="U4" s="32">
        <v>33</v>
      </c>
      <c r="V4" s="32">
        <v>14</v>
      </c>
      <c r="W4" s="32">
        <v>28</v>
      </c>
      <c r="X4" s="32">
        <v>18</v>
      </c>
      <c r="Y4" s="32">
        <v>23.000000000000004</v>
      </c>
      <c r="Z4" s="32">
        <v>27</v>
      </c>
      <c r="AA4" s="32">
        <v>33</v>
      </c>
      <c r="AB4" s="32">
        <v>48</v>
      </c>
      <c r="AC4" s="32">
        <v>117</v>
      </c>
      <c r="AD4" s="32">
        <v>40</v>
      </c>
      <c r="AE4" s="32">
        <v>27</v>
      </c>
      <c r="AF4" s="32">
        <v>65</v>
      </c>
      <c r="AG4" s="32">
        <v>9</v>
      </c>
      <c r="AH4" s="32">
        <v>5</v>
      </c>
      <c r="AI4" s="32">
        <v>4</v>
      </c>
      <c r="AJ4" s="32">
        <v>5</v>
      </c>
      <c r="AK4" s="32">
        <v>9</v>
      </c>
      <c r="AL4" s="32">
        <v>28</v>
      </c>
      <c r="AM4" s="32">
        <v>34</v>
      </c>
      <c r="AN4" s="32">
        <v>34</v>
      </c>
      <c r="AO4" s="32">
        <v>9</v>
      </c>
      <c r="AP4" s="32">
        <v>9</v>
      </c>
      <c r="AQ4" s="32">
        <v>20.999999999999996</v>
      </c>
      <c r="AR4" s="32">
        <v>24</v>
      </c>
      <c r="AS4" s="32">
        <v>32</v>
      </c>
      <c r="AT4" s="32">
        <v>44</v>
      </c>
      <c r="AU4" s="32">
        <v>128</v>
      </c>
      <c r="AV4" s="32">
        <v>23.000000000000004</v>
      </c>
      <c r="AW4" s="32">
        <v>17</v>
      </c>
      <c r="AX4" s="32">
        <v>58.000000000000007</v>
      </c>
      <c r="AY4" s="32">
        <v>41</v>
      </c>
      <c r="AZ4" s="32">
        <v>65</v>
      </c>
    </row>
    <row r="5" spans="1:52">
      <c r="A5" s="31">
        <v>3</v>
      </c>
      <c r="B5" s="32">
        <v>9</v>
      </c>
      <c r="C5" s="32">
        <v>32</v>
      </c>
      <c r="D5" s="32">
        <v>3</v>
      </c>
      <c r="E5" s="32">
        <v>9999</v>
      </c>
      <c r="F5" s="32">
        <v>14</v>
      </c>
      <c r="G5" s="32">
        <v>5</v>
      </c>
      <c r="H5" s="32">
        <v>8</v>
      </c>
      <c r="I5" s="32">
        <v>3</v>
      </c>
      <c r="J5" s="32">
        <v>8</v>
      </c>
      <c r="K5" s="32">
        <v>9</v>
      </c>
      <c r="L5" s="32">
        <v>16</v>
      </c>
      <c r="M5" s="32">
        <v>4</v>
      </c>
      <c r="N5" s="32">
        <v>4</v>
      </c>
      <c r="O5" s="32">
        <v>10</v>
      </c>
      <c r="P5" s="32">
        <v>14</v>
      </c>
      <c r="Q5" s="32">
        <v>25</v>
      </c>
      <c r="R5" s="32">
        <v>10</v>
      </c>
      <c r="S5" s="32">
        <v>3</v>
      </c>
      <c r="T5" s="32">
        <v>7</v>
      </c>
      <c r="U5" s="32">
        <v>34</v>
      </c>
      <c r="V5" s="32">
        <v>14</v>
      </c>
      <c r="W5" s="32">
        <v>28</v>
      </c>
      <c r="X5" s="32">
        <v>13.000000000000002</v>
      </c>
      <c r="Y5" s="32">
        <v>22</v>
      </c>
      <c r="Z5" s="32">
        <v>27</v>
      </c>
      <c r="AA5" s="32">
        <v>33</v>
      </c>
      <c r="AB5" s="32">
        <v>48</v>
      </c>
      <c r="AC5" s="32">
        <v>116.00000000000001</v>
      </c>
      <c r="AD5" s="32">
        <v>41</v>
      </c>
      <c r="AE5" s="32">
        <v>28</v>
      </c>
      <c r="AF5" s="32">
        <v>65</v>
      </c>
      <c r="AG5" s="32">
        <v>10</v>
      </c>
      <c r="AH5" s="32">
        <v>6</v>
      </c>
      <c r="AI5" s="32">
        <v>4</v>
      </c>
      <c r="AJ5" s="32">
        <v>5</v>
      </c>
      <c r="AK5" s="32">
        <v>10</v>
      </c>
      <c r="AL5" s="32">
        <v>27</v>
      </c>
      <c r="AM5" s="32">
        <v>34</v>
      </c>
      <c r="AN5" s="32">
        <v>33</v>
      </c>
      <c r="AO5" s="32">
        <v>8</v>
      </c>
      <c r="AP5" s="32">
        <v>9</v>
      </c>
      <c r="AQ5" s="32">
        <v>20</v>
      </c>
      <c r="AR5" s="32">
        <v>24</v>
      </c>
      <c r="AS5" s="32">
        <v>30</v>
      </c>
      <c r="AT5" s="32">
        <v>43</v>
      </c>
      <c r="AU5" s="32">
        <v>118</v>
      </c>
      <c r="AV5" s="32">
        <v>22</v>
      </c>
      <c r="AW5" s="32">
        <v>15</v>
      </c>
      <c r="AX5" s="32">
        <v>58.000000000000007</v>
      </c>
      <c r="AY5" s="32">
        <v>41</v>
      </c>
      <c r="AZ5" s="32">
        <v>66</v>
      </c>
    </row>
    <row r="6" spans="1:52">
      <c r="A6" s="31">
        <v>4</v>
      </c>
      <c r="B6" s="32">
        <v>9</v>
      </c>
      <c r="C6" s="32">
        <v>32</v>
      </c>
      <c r="D6" s="32">
        <v>16</v>
      </c>
      <c r="E6" s="32">
        <v>15</v>
      </c>
      <c r="F6" s="32">
        <v>9999</v>
      </c>
      <c r="G6" s="32">
        <v>16</v>
      </c>
      <c r="H6" s="32">
        <v>10</v>
      </c>
      <c r="I6" s="32">
        <v>16</v>
      </c>
      <c r="J6" s="32">
        <v>19</v>
      </c>
      <c r="K6" s="32">
        <v>19</v>
      </c>
      <c r="L6" s="32">
        <v>20</v>
      </c>
      <c r="M6" s="32">
        <v>17</v>
      </c>
      <c r="N6" s="32">
        <v>17</v>
      </c>
      <c r="O6" s="32">
        <v>14</v>
      </c>
      <c r="P6" s="32">
        <v>16</v>
      </c>
      <c r="Q6" s="32">
        <v>31.000000000000004</v>
      </c>
      <c r="R6" s="32">
        <v>22</v>
      </c>
      <c r="S6" s="32">
        <v>16</v>
      </c>
      <c r="T6" s="32">
        <v>10</v>
      </c>
      <c r="U6" s="32">
        <v>36</v>
      </c>
      <c r="V6" s="32">
        <v>16</v>
      </c>
      <c r="W6" s="32">
        <v>32</v>
      </c>
      <c r="X6" s="32">
        <v>13.000000000000002</v>
      </c>
      <c r="Y6" s="32">
        <v>18</v>
      </c>
      <c r="Z6" s="32">
        <v>30</v>
      </c>
      <c r="AA6" s="32">
        <v>36</v>
      </c>
      <c r="AB6" s="32">
        <v>46.000000000000007</v>
      </c>
      <c r="AC6" s="32">
        <v>114</v>
      </c>
      <c r="AD6" s="32">
        <v>43</v>
      </c>
      <c r="AE6" s="32">
        <v>33</v>
      </c>
      <c r="AF6" s="32">
        <v>68</v>
      </c>
      <c r="AG6" s="32">
        <v>20</v>
      </c>
      <c r="AH6" s="32">
        <v>17</v>
      </c>
      <c r="AI6" s="32">
        <v>15</v>
      </c>
      <c r="AJ6" s="32">
        <v>16</v>
      </c>
      <c r="AK6" s="32">
        <v>20</v>
      </c>
      <c r="AL6" s="32">
        <v>24</v>
      </c>
      <c r="AM6" s="32">
        <v>40</v>
      </c>
      <c r="AN6" s="32">
        <v>40</v>
      </c>
      <c r="AO6" s="32">
        <v>11</v>
      </c>
      <c r="AP6" s="32">
        <v>17</v>
      </c>
      <c r="AQ6" s="32">
        <v>15</v>
      </c>
      <c r="AR6" s="32">
        <v>23.000000000000004</v>
      </c>
      <c r="AS6" s="32">
        <v>30</v>
      </c>
      <c r="AT6" s="32">
        <v>40</v>
      </c>
      <c r="AU6" s="32">
        <v>118</v>
      </c>
      <c r="AV6" s="32">
        <v>22</v>
      </c>
      <c r="AW6" s="32">
        <v>14</v>
      </c>
      <c r="AX6" s="32">
        <v>60.999999999999993</v>
      </c>
      <c r="AY6" s="32">
        <v>44</v>
      </c>
      <c r="AZ6" s="32">
        <v>71</v>
      </c>
    </row>
    <row r="7" spans="1:52">
      <c r="A7" s="31">
        <v>5</v>
      </c>
      <c r="B7" s="32">
        <v>10</v>
      </c>
      <c r="C7" s="32">
        <v>32</v>
      </c>
      <c r="D7" s="32">
        <v>5</v>
      </c>
      <c r="E7" s="32">
        <v>5</v>
      </c>
      <c r="F7" s="32">
        <v>16</v>
      </c>
      <c r="G7" s="32">
        <v>9999</v>
      </c>
      <c r="H7" s="32">
        <v>9</v>
      </c>
      <c r="I7" s="32">
        <v>7</v>
      </c>
      <c r="J7" s="32">
        <v>10</v>
      </c>
      <c r="K7" s="32">
        <v>8</v>
      </c>
      <c r="L7" s="32">
        <v>9</v>
      </c>
      <c r="M7" s="32">
        <v>3</v>
      </c>
      <c r="N7" s="32">
        <v>3</v>
      </c>
      <c r="O7" s="32">
        <v>10</v>
      </c>
      <c r="P7" s="32">
        <v>12</v>
      </c>
      <c r="Q7" s="32">
        <v>26.000000000000004</v>
      </c>
      <c r="R7" s="32">
        <v>10</v>
      </c>
      <c r="S7" s="32">
        <v>4</v>
      </c>
      <c r="T7" s="32">
        <v>7</v>
      </c>
      <c r="U7" s="32">
        <v>32</v>
      </c>
      <c r="V7" s="32">
        <v>12</v>
      </c>
      <c r="W7" s="32">
        <v>26.000000000000004</v>
      </c>
      <c r="X7" s="32">
        <v>13.000000000000002</v>
      </c>
      <c r="Y7" s="32">
        <v>25</v>
      </c>
      <c r="Z7" s="32">
        <v>25</v>
      </c>
      <c r="AA7" s="32">
        <v>31.000000000000004</v>
      </c>
      <c r="AB7" s="32">
        <v>48.999999999999993</v>
      </c>
      <c r="AC7" s="32">
        <v>118</v>
      </c>
      <c r="AD7" s="32">
        <v>39</v>
      </c>
      <c r="AE7" s="32">
        <v>26.000000000000004</v>
      </c>
      <c r="AF7" s="32">
        <v>63.000000000000007</v>
      </c>
      <c r="AG7" s="32">
        <v>9</v>
      </c>
      <c r="AH7" s="32">
        <v>6</v>
      </c>
      <c r="AI7" s="32">
        <v>7</v>
      </c>
      <c r="AJ7" s="32">
        <v>6</v>
      </c>
      <c r="AK7" s="32">
        <v>10</v>
      </c>
      <c r="AL7" s="32">
        <v>29.000000000000004</v>
      </c>
      <c r="AM7" s="32">
        <v>34</v>
      </c>
      <c r="AN7" s="32">
        <v>35</v>
      </c>
      <c r="AO7" s="32">
        <v>8</v>
      </c>
      <c r="AP7" s="32">
        <v>7</v>
      </c>
      <c r="AQ7" s="32">
        <v>22</v>
      </c>
      <c r="AR7" s="32">
        <v>22</v>
      </c>
      <c r="AS7" s="32">
        <v>31.000000000000004</v>
      </c>
      <c r="AT7" s="32">
        <v>45</v>
      </c>
      <c r="AU7" s="32">
        <v>120</v>
      </c>
      <c r="AV7" s="32">
        <v>22</v>
      </c>
      <c r="AW7" s="32">
        <v>16</v>
      </c>
      <c r="AX7" s="32">
        <v>56</v>
      </c>
      <c r="AY7" s="32">
        <v>39</v>
      </c>
      <c r="AZ7" s="32">
        <v>64</v>
      </c>
    </row>
    <row r="8" spans="1:52">
      <c r="A8" s="31">
        <v>6</v>
      </c>
      <c r="B8" s="32">
        <v>8</v>
      </c>
      <c r="C8" s="32">
        <v>30</v>
      </c>
      <c r="D8" s="32">
        <v>10</v>
      </c>
      <c r="E8" s="32">
        <v>9</v>
      </c>
      <c r="F8" s="32">
        <v>10</v>
      </c>
      <c r="G8" s="32">
        <v>10</v>
      </c>
      <c r="H8" s="32">
        <v>9999</v>
      </c>
      <c r="I8" s="32">
        <v>10</v>
      </c>
      <c r="J8" s="32">
        <v>13.000000000000002</v>
      </c>
      <c r="K8" s="32">
        <v>13.000000000000002</v>
      </c>
      <c r="L8" s="32">
        <v>14</v>
      </c>
      <c r="M8" s="32">
        <v>11</v>
      </c>
      <c r="N8" s="32">
        <v>11</v>
      </c>
      <c r="O8" s="32">
        <v>9</v>
      </c>
      <c r="P8" s="32">
        <v>14</v>
      </c>
      <c r="Q8" s="32">
        <v>26.000000000000004</v>
      </c>
      <c r="R8" s="32">
        <v>15</v>
      </c>
      <c r="S8" s="32">
        <v>10</v>
      </c>
      <c r="T8" s="32">
        <v>4</v>
      </c>
      <c r="U8" s="32">
        <v>34</v>
      </c>
      <c r="V8" s="32">
        <v>14</v>
      </c>
      <c r="W8" s="32">
        <v>27</v>
      </c>
      <c r="X8" s="32">
        <v>11</v>
      </c>
      <c r="Y8" s="32">
        <v>18</v>
      </c>
      <c r="Z8" s="32">
        <v>28</v>
      </c>
      <c r="AA8" s="32">
        <v>34</v>
      </c>
      <c r="AB8" s="32">
        <v>48.999999999999993</v>
      </c>
      <c r="AC8" s="32">
        <v>114</v>
      </c>
      <c r="AD8" s="32">
        <v>41.999999999999993</v>
      </c>
      <c r="AE8" s="32">
        <v>28</v>
      </c>
      <c r="AF8" s="32">
        <v>66</v>
      </c>
      <c r="AG8" s="32">
        <v>14</v>
      </c>
      <c r="AH8" s="32">
        <v>11</v>
      </c>
      <c r="AI8" s="32">
        <v>9</v>
      </c>
      <c r="AJ8" s="32">
        <v>10</v>
      </c>
      <c r="AK8" s="32">
        <v>14</v>
      </c>
      <c r="AL8" s="32">
        <v>24</v>
      </c>
      <c r="AM8" s="32">
        <v>35</v>
      </c>
      <c r="AN8" s="32">
        <v>36</v>
      </c>
      <c r="AO8" s="32">
        <v>7</v>
      </c>
      <c r="AP8" s="32">
        <v>11</v>
      </c>
      <c r="AQ8" s="32">
        <v>16</v>
      </c>
      <c r="AR8" s="32">
        <v>22</v>
      </c>
      <c r="AS8" s="32">
        <v>29.000000000000004</v>
      </c>
      <c r="AT8" s="32">
        <v>40</v>
      </c>
      <c r="AU8" s="32">
        <v>116.00000000000001</v>
      </c>
      <c r="AV8" s="32">
        <v>20</v>
      </c>
      <c r="AW8" s="32">
        <v>14</v>
      </c>
      <c r="AX8" s="32">
        <v>59</v>
      </c>
      <c r="AY8" s="32">
        <v>48.999999999999993</v>
      </c>
      <c r="AZ8" s="32">
        <v>66</v>
      </c>
    </row>
    <row r="9" spans="1:52">
      <c r="A9" s="31">
        <v>7</v>
      </c>
      <c r="B9" s="32">
        <v>10</v>
      </c>
      <c r="C9" s="32">
        <v>33</v>
      </c>
      <c r="D9" s="32">
        <v>4</v>
      </c>
      <c r="E9" s="32">
        <v>2</v>
      </c>
      <c r="F9" s="32">
        <v>14</v>
      </c>
      <c r="G9" s="32">
        <v>6</v>
      </c>
      <c r="H9" s="32">
        <v>8</v>
      </c>
      <c r="I9" s="32">
        <v>9999</v>
      </c>
      <c r="J9" s="32">
        <v>7</v>
      </c>
      <c r="K9" s="32">
        <v>10</v>
      </c>
      <c r="L9" s="32">
        <v>12</v>
      </c>
      <c r="M9" s="32">
        <v>5</v>
      </c>
      <c r="N9" s="32">
        <v>5</v>
      </c>
      <c r="O9" s="32">
        <v>11</v>
      </c>
      <c r="P9" s="32">
        <v>15</v>
      </c>
      <c r="Q9" s="32">
        <v>24</v>
      </c>
      <c r="R9" s="32">
        <v>10</v>
      </c>
      <c r="S9" s="32">
        <v>4</v>
      </c>
      <c r="T9" s="32">
        <v>10</v>
      </c>
      <c r="U9" s="32">
        <v>34</v>
      </c>
      <c r="V9" s="32">
        <v>15</v>
      </c>
      <c r="W9" s="32">
        <v>29.000000000000004</v>
      </c>
      <c r="X9" s="32">
        <v>14</v>
      </c>
      <c r="Y9" s="32">
        <v>20.999999999999996</v>
      </c>
      <c r="Z9" s="32">
        <v>28</v>
      </c>
      <c r="AA9" s="32">
        <v>34</v>
      </c>
      <c r="AB9" s="32">
        <v>47</v>
      </c>
      <c r="AC9" s="32">
        <v>114.99999999999999</v>
      </c>
      <c r="AD9" s="32">
        <v>41.999999999999993</v>
      </c>
      <c r="AE9" s="32">
        <v>29.000000000000004</v>
      </c>
      <c r="AF9" s="32">
        <v>66</v>
      </c>
      <c r="AG9" s="32">
        <v>10</v>
      </c>
      <c r="AH9" s="32">
        <v>7</v>
      </c>
      <c r="AI9" s="32">
        <v>3</v>
      </c>
      <c r="AJ9" s="32">
        <v>4</v>
      </c>
      <c r="AK9" s="32">
        <v>10</v>
      </c>
      <c r="AL9" s="32">
        <v>26.000000000000004</v>
      </c>
      <c r="AM9" s="32">
        <v>33</v>
      </c>
      <c r="AN9" s="32">
        <v>32</v>
      </c>
      <c r="AO9" s="32">
        <v>8</v>
      </c>
      <c r="AP9" s="32">
        <v>10</v>
      </c>
      <c r="AQ9" s="32">
        <v>24</v>
      </c>
      <c r="AR9" s="32">
        <v>24</v>
      </c>
      <c r="AS9" s="32">
        <v>31.000000000000004</v>
      </c>
      <c r="AT9" s="32">
        <v>41.999999999999993</v>
      </c>
      <c r="AU9" s="32">
        <v>117</v>
      </c>
      <c r="AV9" s="32">
        <v>22</v>
      </c>
      <c r="AW9" s="32">
        <v>16</v>
      </c>
      <c r="AX9" s="32">
        <v>59</v>
      </c>
      <c r="AY9" s="32">
        <v>41.999999999999993</v>
      </c>
      <c r="AZ9" s="32">
        <v>67</v>
      </c>
    </row>
    <row r="10" spans="1:52">
      <c r="A10" s="31">
        <v>8</v>
      </c>
      <c r="B10" s="32">
        <v>11</v>
      </c>
      <c r="C10" s="32">
        <v>33</v>
      </c>
      <c r="D10" s="32">
        <v>8</v>
      </c>
      <c r="E10" s="32">
        <v>7</v>
      </c>
      <c r="F10" s="32">
        <v>15</v>
      </c>
      <c r="G10" s="32">
        <v>10</v>
      </c>
      <c r="H10" s="32">
        <v>8</v>
      </c>
      <c r="I10" s="32">
        <v>7</v>
      </c>
      <c r="J10" s="32">
        <v>9999</v>
      </c>
      <c r="K10" s="32">
        <v>11</v>
      </c>
      <c r="L10" s="32">
        <v>14</v>
      </c>
      <c r="M10" s="32">
        <v>10</v>
      </c>
      <c r="N10" s="32">
        <v>9</v>
      </c>
      <c r="O10" s="32">
        <v>11</v>
      </c>
      <c r="P10" s="32">
        <v>16</v>
      </c>
      <c r="Q10" s="32">
        <v>23.000000000000004</v>
      </c>
      <c r="R10" s="32">
        <v>11</v>
      </c>
      <c r="S10" s="32">
        <v>9</v>
      </c>
      <c r="T10" s="32">
        <v>8</v>
      </c>
      <c r="U10" s="32">
        <v>36</v>
      </c>
      <c r="V10" s="32">
        <v>16</v>
      </c>
      <c r="W10" s="32">
        <v>29.000000000000004</v>
      </c>
      <c r="X10" s="32">
        <v>14</v>
      </c>
      <c r="Y10" s="32">
        <v>20</v>
      </c>
      <c r="Z10" s="32">
        <v>29.000000000000004</v>
      </c>
      <c r="AA10" s="32">
        <v>36</v>
      </c>
      <c r="AB10" s="32">
        <v>45</v>
      </c>
      <c r="AC10" s="32">
        <v>114</v>
      </c>
      <c r="AD10" s="32">
        <v>43</v>
      </c>
      <c r="AE10" s="32">
        <v>27</v>
      </c>
      <c r="AF10" s="32">
        <v>68</v>
      </c>
      <c r="AG10" s="32">
        <v>11</v>
      </c>
      <c r="AH10" s="32">
        <v>9</v>
      </c>
      <c r="AI10" s="32">
        <v>4</v>
      </c>
      <c r="AJ10" s="32">
        <v>6</v>
      </c>
      <c r="AK10" s="32">
        <v>11</v>
      </c>
      <c r="AL10" s="32">
        <v>24</v>
      </c>
      <c r="AM10" s="32">
        <v>31.000000000000004</v>
      </c>
      <c r="AN10" s="32">
        <v>30</v>
      </c>
      <c r="AO10" s="32">
        <v>9</v>
      </c>
      <c r="AP10" s="32">
        <v>12</v>
      </c>
      <c r="AQ10" s="32">
        <v>17</v>
      </c>
      <c r="AR10" s="32">
        <v>25</v>
      </c>
      <c r="AS10" s="32">
        <v>32</v>
      </c>
      <c r="AT10" s="32">
        <v>40</v>
      </c>
      <c r="AU10" s="32">
        <v>114.99999999999999</v>
      </c>
      <c r="AV10" s="32">
        <v>23.000000000000004</v>
      </c>
      <c r="AW10" s="32">
        <v>16</v>
      </c>
      <c r="AX10" s="32">
        <v>60</v>
      </c>
      <c r="AY10" s="32">
        <v>43</v>
      </c>
      <c r="AZ10" s="32">
        <v>68</v>
      </c>
    </row>
    <row r="11" spans="1:52">
      <c r="A11" s="31">
        <v>9</v>
      </c>
      <c r="B11" s="32">
        <v>13.000000000000002</v>
      </c>
      <c r="C11" s="32">
        <v>36</v>
      </c>
      <c r="D11" s="32">
        <v>6</v>
      </c>
      <c r="E11" s="32">
        <v>7</v>
      </c>
      <c r="F11" s="32">
        <v>17</v>
      </c>
      <c r="G11" s="32">
        <v>6</v>
      </c>
      <c r="H11" s="32">
        <v>10</v>
      </c>
      <c r="I11" s="32">
        <v>8</v>
      </c>
      <c r="J11" s="32">
        <v>6</v>
      </c>
      <c r="K11" s="32">
        <v>9999</v>
      </c>
      <c r="L11" s="32">
        <v>10</v>
      </c>
      <c r="M11" s="32">
        <v>5</v>
      </c>
      <c r="N11" s="32">
        <v>6</v>
      </c>
      <c r="O11" s="32">
        <v>14</v>
      </c>
      <c r="P11" s="32">
        <v>16</v>
      </c>
      <c r="Q11" s="32">
        <v>22</v>
      </c>
      <c r="R11" s="32">
        <v>6</v>
      </c>
      <c r="S11" s="32">
        <v>7</v>
      </c>
      <c r="T11" s="32">
        <v>10</v>
      </c>
      <c r="U11" s="32">
        <v>36</v>
      </c>
      <c r="V11" s="32">
        <v>16</v>
      </c>
      <c r="W11" s="32">
        <v>26.000000000000004</v>
      </c>
      <c r="X11" s="32">
        <v>16</v>
      </c>
      <c r="Y11" s="32">
        <v>23.000000000000004</v>
      </c>
      <c r="Z11" s="32">
        <v>29.000000000000004</v>
      </c>
      <c r="AA11" s="32">
        <v>35</v>
      </c>
      <c r="AB11" s="32">
        <v>48</v>
      </c>
      <c r="AC11" s="32">
        <v>117</v>
      </c>
      <c r="AD11" s="32">
        <v>51</v>
      </c>
      <c r="AE11" s="32">
        <v>24</v>
      </c>
      <c r="AF11" s="32">
        <v>67</v>
      </c>
      <c r="AG11" s="32">
        <v>6</v>
      </c>
      <c r="AH11" s="32">
        <v>1</v>
      </c>
      <c r="AI11" s="32">
        <v>5</v>
      </c>
      <c r="AJ11" s="32">
        <v>4</v>
      </c>
      <c r="AK11" s="32">
        <v>6</v>
      </c>
      <c r="AL11" s="32">
        <v>27</v>
      </c>
      <c r="AM11" s="32">
        <v>31.000000000000004</v>
      </c>
      <c r="AN11" s="32">
        <v>32</v>
      </c>
      <c r="AO11" s="32">
        <v>12</v>
      </c>
      <c r="AP11" s="32">
        <v>10</v>
      </c>
      <c r="AQ11" s="32">
        <v>20</v>
      </c>
      <c r="AR11" s="32">
        <v>26.000000000000004</v>
      </c>
      <c r="AS11" s="32">
        <v>34</v>
      </c>
      <c r="AT11" s="32">
        <v>43</v>
      </c>
      <c r="AU11" s="32">
        <v>118</v>
      </c>
      <c r="AV11" s="32">
        <v>25</v>
      </c>
      <c r="AW11" s="32">
        <v>19</v>
      </c>
      <c r="AX11" s="32">
        <v>56</v>
      </c>
      <c r="AY11" s="32">
        <v>43</v>
      </c>
      <c r="AZ11" s="32">
        <v>62.000000000000007</v>
      </c>
    </row>
    <row r="12" spans="1:52">
      <c r="A12" s="31">
        <v>10</v>
      </c>
      <c r="B12" s="32">
        <v>14</v>
      </c>
      <c r="C12" s="32">
        <v>36</v>
      </c>
      <c r="D12" s="32">
        <v>11</v>
      </c>
      <c r="E12" s="32">
        <v>11</v>
      </c>
      <c r="F12" s="32">
        <v>25</v>
      </c>
      <c r="G12" s="32">
        <v>8</v>
      </c>
      <c r="H12" s="32">
        <v>14</v>
      </c>
      <c r="I12" s="32">
        <v>12</v>
      </c>
      <c r="J12" s="32">
        <v>10</v>
      </c>
      <c r="K12" s="32">
        <v>4</v>
      </c>
      <c r="L12" s="32">
        <v>9999</v>
      </c>
      <c r="M12" s="32">
        <v>9</v>
      </c>
      <c r="N12" s="32">
        <v>9</v>
      </c>
      <c r="O12" s="32">
        <v>13.000000000000002</v>
      </c>
      <c r="P12" s="32">
        <v>14</v>
      </c>
      <c r="Q12" s="32">
        <v>19</v>
      </c>
      <c r="R12" s="32">
        <v>5</v>
      </c>
      <c r="S12" s="32">
        <v>10</v>
      </c>
      <c r="T12" s="32">
        <v>13.000000000000002</v>
      </c>
      <c r="U12" s="32">
        <v>34</v>
      </c>
      <c r="V12" s="32">
        <v>14</v>
      </c>
      <c r="W12" s="32">
        <v>22</v>
      </c>
      <c r="X12" s="32">
        <v>17</v>
      </c>
      <c r="Y12" s="32">
        <v>32</v>
      </c>
      <c r="Z12" s="32">
        <v>27</v>
      </c>
      <c r="AA12" s="32">
        <v>33</v>
      </c>
      <c r="AB12" s="32">
        <v>52.000000000000007</v>
      </c>
      <c r="AC12" s="32">
        <v>120</v>
      </c>
      <c r="AD12" s="32">
        <v>41</v>
      </c>
      <c r="AE12" s="32">
        <v>19</v>
      </c>
      <c r="AF12" s="32">
        <v>65</v>
      </c>
      <c r="AG12" s="32">
        <v>4</v>
      </c>
      <c r="AH12" s="32">
        <v>5</v>
      </c>
      <c r="AI12" s="32">
        <v>9</v>
      </c>
      <c r="AJ12" s="32">
        <v>8</v>
      </c>
      <c r="AK12" s="32">
        <v>4</v>
      </c>
      <c r="AL12" s="32">
        <v>31.000000000000004</v>
      </c>
      <c r="AM12" s="32">
        <v>27</v>
      </c>
      <c r="AN12" s="32">
        <v>28</v>
      </c>
      <c r="AO12" s="32">
        <v>12</v>
      </c>
      <c r="AP12" s="32">
        <v>9</v>
      </c>
      <c r="AQ12" s="32">
        <v>24</v>
      </c>
      <c r="AR12" s="32">
        <v>24</v>
      </c>
      <c r="AS12" s="32">
        <v>35</v>
      </c>
      <c r="AT12" s="32">
        <v>47</v>
      </c>
      <c r="AU12" s="32">
        <v>121.99999999999999</v>
      </c>
      <c r="AV12" s="32">
        <v>31.000000000000004</v>
      </c>
      <c r="AW12" s="32">
        <v>19</v>
      </c>
      <c r="AX12" s="32">
        <v>53</v>
      </c>
      <c r="AY12" s="32">
        <v>41</v>
      </c>
      <c r="AZ12" s="32">
        <v>58.000000000000007</v>
      </c>
    </row>
    <row r="13" spans="1:52">
      <c r="A13" s="31">
        <v>11</v>
      </c>
      <c r="B13" s="32">
        <v>12</v>
      </c>
      <c r="C13" s="32">
        <v>34</v>
      </c>
      <c r="D13" s="32">
        <v>3</v>
      </c>
      <c r="E13" s="32">
        <v>4</v>
      </c>
      <c r="F13" s="32">
        <v>17</v>
      </c>
      <c r="G13" s="32">
        <v>3</v>
      </c>
      <c r="H13" s="32">
        <v>10</v>
      </c>
      <c r="I13" s="32">
        <v>6</v>
      </c>
      <c r="J13" s="32">
        <v>8</v>
      </c>
      <c r="K13" s="32">
        <v>7</v>
      </c>
      <c r="L13" s="32">
        <v>9</v>
      </c>
      <c r="M13" s="32">
        <v>9999</v>
      </c>
      <c r="N13" s="32">
        <v>2</v>
      </c>
      <c r="O13" s="32">
        <v>12</v>
      </c>
      <c r="P13" s="32">
        <v>14</v>
      </c>
      <c r="Q13" s="32">
        <v>25</v>
      </c>
      <c r="R13" s="32">
        <v>8</v>
      </c>
      <c r="S13" s="32">
        <v>4</v>
      </c>
      <c r="T13" s="32">
        <v>10</v>
      </c>
      <c r="U13" s="32">
        <v>41.999999999999993</v>
      </c>
      <c r="V13" s="32">
        <v>14</v>
      </c>
      <c r="W13" s="32">
        <v>28</v>
      </c>
      <c r="X13" s="32">
        <v>15</v>
      </c>
      <c r="Y13" s="32">
        <v>24</v>
      </c>
      <c r="Z13" s="32">
        <v>27</v>
      </c>
      <c r="AA13" s="32">
        <v>33</v>
      </c>
      <c r="AB13" s="32">
        <v>48.999999999999993</v>
      </c>
      <c r="AC13" s="32">
        <v>118</v>
      </c>
      <c r="AD13" s="32">
        <v>41</v>
      </c>
      <c r="AE13" s="32">
        <v>26.000000000000004</v>
      </c>
      <c r="AF13" s="32">
        <v>65</v>
      </c>
      <c r="AG13" s="32">
        <v>8</v>
      </c>
      <c r="AH13" s="32">
        <v>4</v>
      </c>
      <c r="AI13" s="32">
        <v>5</v>
      </c>
      <c r="AJ13" s="32">
        <v>4</v>
      </c>
      <c r="AK13" s="32">
        <v>8</v>
      </c>
      <c r="AL13" s="32">
        <v>29.000000000000004</v>
      </c>
      <c r="AM13" s="32">
        <v>33</v>
      </c>
      <c r="AN13" s="32">
        <v>34</v>
      </c>
      <c r="AO13" s="32">
        <v>10</v>
      </c>
      <c r="AP13" s="32">
        <v>9</v>
      </c>
      <c r="AQ13" s="32">
        <v>20.999999999999996</v>
      </c>
      <c r="AR13" s="32">
        <v>29.000000000000004</v>
      </c>
      <c r="AS13" s="32">
        <v>33</v>
      </c>
      <c r="AT13" s="32">
        <v>45</v>
      </c>
      <c r="AU13" s="32">
        <v>120</v>
      </c>
      <c r="AV13" s="32">
        <v>24</v>
      </c>
      <c r="AW13" s="32">
        <v>18</v>
      </c>
      <c r="AX13" s="32">
        <v>58.000000000000007</v>
      </c>
      <c r="AY13" s="32">
        <v>41</v>
      </c>
      <c r="AZ13" s="32">
        <v>64</v>
      </c>
    </row>
    <row r="14" spans="1:52">
      <c r="A14" s="31">
        <v>12</v>
      </c>
      <c r="B14" s="32">
        <v>10</v>
      </c>
      <c r="C14" s="32">
        <v>33</v>
      </c>
      <c r="D14" s="32">
        <v>3</v>
      </c>
      <c r="E14" s="32">
        <v>4</v>
      </c>
      <c r="F14" s="32">
        <v>17</v>
      </c>
      <c r="G14" s="32">
        <v>3</v>
      </c>
      <c r="H14" s="32">
        <v>10</v>
      </c>
      <c r="I14" s="32">
        <v>6</v>
      </c>
      <c r="J14" s="32">
        <v>8</v>
      </c>
      <c r="K14" s="32">
        <v>7</v>
      </c>
      <c r="L14" s="32">
        <v>9</v>
      </c>
      <c r="M14" s="32">
        <v>2</v>
      </c>
      <c r="N14" s="32">
        <v>9999</v>
      </c>
      <c r="O14" s="32">
        <v>11</v>
      </c>
      <c r="P14" s="32">
        <v>12</v>
      </c>
      <c r="Q14" s="32">
        <v>25</v>
      </c>
      <c r="R14" s="32">
        <v>10</v>
      </c>
      <c r="S14" s="32">
        <v>2</v>
      </c>
      <c r="T14" s="32">
        <v>8</v>
      </c>
      <c r="U14" s="32">
        <v>32</v>
      </c>
      <c r="V14" s="32">
        <v>12</v>
      </c>
      <c r="W14" s="32">
        <v>27</v>
      </c>
      <c r="X14" s="32">
        <v>14</v>
      </c>
      <c r="Y14" s="32">
        <v>25</v>
      </c>
      <c r="Z14" s="32">
        <v>26.000000000000004</v>
      </c>
      <c r="AA14" s="32">
        <v>32</v>
      </c>
      <c r="AB14" s="32">
        <v>50</v>
      </c>
      <c r="AC14" s="32">
        <v>119</v>
      </c>
      <c r="AD14" s="32">
        <v>39</v>
      </c>
      <c r="AE14" s="32">
        <v>26.000000000000004</v>
      </c>
      <c r="AF14" s="32">
        <v>64</v>
      </c>
      <c r="AG14" s="32">
        <v>8</v>
      </c>
      <c r="AH14" s="32">
        <v>5</v>
      </c>
      <c r="AI14" s="32">
        <v>5</v>
      </c>
      <c r="AJ14" s="32">
        <v>5</v>
      </c>
      <c r="AK14" s="32">
        <v>8</v>
      </c>
      <c r="AL14" s="32">
        <v>30</v>
      </c>
      <c r="AM14" s="32">
        <v>33</v>
      </c>
      <c r="AN14" s="32">
        <v>34</v>
      </c>
      <c r="AO14" s="32">
        <v>12</v>
      </c>
      <c r="AP14" s="32">
        <v>8</v>
      </c>
      <c r="AQ14" s="32">
        <v>22</v>
      </c>
      <c r="AR14" s="32">
        <v>23.000000000000004</v>
      </c>
      <c r="AS14" s="32">
        <v>31.000000000000004</v>
      </c>
      <c r="AT14" s="32">
        <v>46.000000000000007</v>
      </c>
      <c r="AU14" s="32">
        <v>120</v>
      </c>
      <c r="AV14" s="32">
        <v>23.000000000000004</v>
      </c>
      <c r="AW14" s="32">
        <v>16</v>
      </c>
      <c r="AX14" s="32">
        <v>57</v>
      </c>
      <c r="AY14" s="32">
        <v>40</v>
      </c>
      <c r="AZ14" s="32">
        <v>64</v>
      </c>
    </row>
    <row r="15" spans="1:52">
      <c r="A15" s="31">
        <v>13</v>
      </c>
      <c r="B15" s="32">
        <v>10</v>
      </c>
      <c r="C15" s="32">
        <v>30</v>
      </c>
      <c r="D15" s="32">
        <v>12</v>
      </c>
      <c r="E15" s="32">
        <v>12</v>
      </c>
      <c r="F15" s="32">
        <v>16</v>
      </c>
      <c r="G15" s="32">
        <v>9</v>
      </c>
      <c r="H15" s="32">
        <v>11</v>
      </c>
      <c r="I15" s="32">
        <v>14</v>
      </c>
      <c r="J15" s="32">
        <v>15</v>
      </c>
      <c r="K15" s="32">
        <v>12</v>
      </c>
      <c r="L15" s="32">
        <v>10</v>
      </c>
      <c r="M15" s="32">
        <v>11</v>
      </c>
      <c r="N15" s="32">
        <v>11</v>
      </c>
      <c r="O15" s="32">
        <v>9999</v>
      </c>
      <c r="P15" s="32">
        <v>6</v>
      </c>
      <c r="Q15" s="32">
        <v>18</v>
      </c>
      <c r="R15" s="32">
        <v>13.000000000000002</v>
      </c>
      <c r="S15" s="32">
        <v>11</v>
      </c>
      <c r="T15" s="32">
        <v>7</v>
      </c>
      <c r="U15" s="32">
        <v>26.000000000000004</v>
      </c>
      <c r="V15" s="32">
        <v>6</v>
      </c>
      <c r="W15" s="32">
        <v>19</v>
      </c>
      <c r="X15" s="32">
        <v>11</v>
      </c>
      <c r="Y15" s="32">
        <v>25</v>
      </c>
      <c r="Z15" s="32">
        <v>19</v>
      </c>
      <c r="AA15" s="32">
        <v>26.000000000000004</v>
      </c>
      <c r="AB15" s="32">
        <v>52.000000000000007</v>
      </c>
      <c r="AC15" s="32">
        <v>120</v>
      </c>
      <c r="AD15" s="32">
        <v>33</v>
      </c>
      <c r="AE15" s="32">
        <v>20</v>
      </c>
      <c r="AF15" s="32">
        <v>58.000000000000007</v>
      </c>
      <c r="AG15" s="32">
        <v>11</v>
      </c>
      <c r="AH15" s="32">
        <v>10</v>
      </c>
      <c r="AI15" s="32">
        <v>13.000000000000002</v>
      </c>
      <c r="AJ15" s="32">
        <v>13.000000000000002</v>
      </c>
      <c r="AK15" s="32">
        <v>11</v>
      </c>
      <c r="AL15" s="32">
        <v>31.000000000000004</v>
      </c>
      <c r="AM15" s="32">
        <v>32</v>
      </c>
      <c r="AN15" s="32">
        <v>28</v>
      </c>
      <c r="AO15" s="32">
        <v>6</v>
      </c>
      <c r="AP15" s="32">
        <v>5</v>
      </c>
      <c r="AQ15" s="32">
        <v>22</v>
      </c>
      <c r="AR15" s="32">
        <v>16</v>
      </c>
      <c r="AS15" s="32">
        <v>28</v>
      </c>
      <c r="AT15" s="32">
        <v>47</v>
      </c>
      <c r="AU15" s="32">
        <v>121.99999999999999</v>
      </c>
      <c r="AV15" s="32">
        <v>20</v>
      </c>
      <c r="AW15" s="32">
        <v>13.000000000000002</v>
      </c>
      <c r="AX15" s="32">
        <v>51</v>
      </c>
      <c r="AY15" s="32">
        <v>33</v>
      </c>
      <c r="AZ15" s="32">
        <v>58.000000000000007</v>
      </c>
    </row>
    <row r="16" spans="1:52">
      <c r="A16" s="31">
        <v>14</v>
      </c>
      <c r="B16" s="32">
        <v>7</v>
      </c>
      <c r="C16" s="32">
        <v>30</v>
      </c>
      <c r="D16" s="32">
        <v>15</v>
      </c>
      <c r="E16" s="32">
        <v>15</v>
      </c>
      <c r="F16" s="32">
        <v>16</v>
      </c>
      <c r="G16" s="32">
        <v>12</v>
      </c>
      <c r="H16" s="32">
        <v>17</v>
      </c>
      <c r="I16" s="32">
        <v>16</v>
      </c>
      <c r="J16" s="32">
        <v>18</v>
      </c>
      <c r="K16" s="32">
        <v>15</v>
      </c>
      <c r="L16" s="32">
        <v>14</v>
      </c>
      <c r="M16" s="32">
        <v>14</v>
      </c>
      <c r="N16" s="32">
        <v>14</v>
      </c>
      <c r="O16" s="32">
        <v>7</v>
      </c>
      <c r="P16" s="32">
        <v>9999</v>
      </c>
      <c r="Q16" s="32">
        <v>23.000000000000004</v>
      </c>
      <c r="R16" s="32">
        <v>17</v>
      </c>
      <c r="S16" s="32">
        <v>14</v>
      </c>
      <c r="T16" s="32">
        <v>11</v>
      </c>
      <c r="U16" s="32">
        <v>26.000000000000004</v>
      </c>
      <c r="V16" s="32">
        <v>0</v>
      </c>
      <c r="W16" s="32">
        <v>24</v>
      </c>
      <c r="X16" s="32">
        <v>11</v>
      </c>
      <c r="Y16" s="32">
        <v>25</v>
      </c>
      <c r="Z16" s="32">
        <v>19</v>
      </c>
      <c r="AA16" s="32">
        <v>25</v>
      </c>
      <c r="AB16" s="32">
        <v>52.000000000000007</v>
      </c>
      <c r="AC16" s="32">
        <v>120</v>
      </c>
      <c r="AD16" s="32">
        <v>33</v>
      </c>
      <c r="AE16" s="32">
        <v>25</v>
      </c>
      <c r="AF16" s="32">
        <v>57</v>
      </c>
      <c r="AG16" s="32">
        <v>16</v>
      </c>
      <c r="AH16" s="32">
        <v>13.000000000000002</v>
      </c>
      <c r="AI16" s="32">
        <v>17</v>
      </c>
      <c r="AJ16" s="32">
        <v>16</v>
      </c>
      <c r="AK16" s="32">
        <v>16</v>
      </c>
      <c r="AL16" s="32">
        <v>37</v>
      </c>
      <c r="AM16" s="32">
        <v>32</v>
      </c>
      <c r="AN16" s="32">
        <v>33</v>
      </c>
      <c r="AO16" s="32">
        <v>9</v>
      </c>
      <c r="AP16" s="32">
        <v>8</v>
      </c>
      <c r="AQ16" s="32">
        <v>22</v>
      </c>
      <c r="AR16" s="32">
        <v>14</v>
      </c>
      <c r="AS16" s="32">
        <v>28</v>
      </c>
      <c r="AT16" s="32">
        <v>47</v>
      </c>
      <c r="AU16" s="32">
        <v>121.99999999999999</v>
      </c>
      <c r="AV16" s="32">
        <v>20</v>
      </c>
      <c r="AW16" s="32">
        <v>13.000000000000002</v>
      </c>
      <c r="AX16" s="32">
        <v>50</v>
      </c>
      <c r="AY16" s="32">
        <v>33</v>
      </c>
      <c r="AZ16" s="32">
        <v>63.000000000000007</v>
      </c>
    </row>
    <row r="17" spans="1:52">
      <c r="A17" s="31">
        <v>15</v>
      </c>
      <c r="B17" s="32">
        <v>22</v>
      </c>
      <c r="C17" s="32">
        <v>44</v>
      </c>
      <c r="D17" s="32">
        <v>22</v>
      </c>
      <c r="E17" s="32">
        <v>23.000000000000004</v>
      </c>
      <c r="F17" s="32">
        <v>30</v>
      </c>
      <c r="G17" s="32">
        <v>23.000000000000004</v>
      </c>
      <c r="H17" s="32">
        <v>25</v>
      </c>
      <c r="I17" s="32">
        <v>25</v>
      </c>
      <c r="J17" s="32">
        <v>22</v>
      </c>
      <c r="K17" s="32">
        <v>17</v>
      </c>
      <c r="L17" s="32">
        <v>18</v>
      </c>
      <c r="M17" s="32">
        <v>22</v>
      </c>
      <c r="N17" s="32">
        <v>22</v>
      </c>
      <c r="O17" s="32">
        <v>20.999999999999996</v>
      </c>
      <c r="P17" s="32">
        <v>22</v>
      </c>
      <c r="Q17" s="32">
        <v>9999</v>
      </c>
      <c r="R17" s="32">
        <v>18</v>
      </c>
      <c r="S17" s="32">
        <v>24</v>
      </c>
      <c r="T17" s="32">
        <v>20.999999999999996</v>
      </c>
      <c r="U17" s="32">
        <v>38</v>
      </c>
      <c r="V17" s="32">
        <v>22</v>
      </c>
      <c r="W17" s="32">
        <v>25</v>
      </c>
      <c r="X17" s="32">
        <v>25</v>
      </c>
      <c r="Y17" s="32">
        <v>28</v>
      </c>
      <c r="Z17" s="32">
        <v>31.000000000000004</v>
      </c>
      <c r="AA17" s="32">
        <v>37</v>
      </c>
      <c r="AB17" s="32">
        <v>52.000000000000007</v>
      </c>
      <c r="AC17" s="32">
        <v>121.99999999999999</v>
      </c>
      <c r="AD17" s="32">
        <v>45</v>
      </c>
      <c r="AE17" s="32">
        <v>14</v>
      </c>
      <c r="AF17" s="32">
        <v>69</v>
      </c>
      <c r="AG17" s="32">
        <v>16</v>
      </c>
      <c r="AH17" s="32">
        <v>18</v>
      </c>
      <c r="AI17" s="32">
        <v>22</v>
      </c>
      <c r="AJ17" s="32">
        <v>20.999999999999996</v>
      </c>
      <c r="AK17" s="32">
        <v>16</v>
      </c>
      <c r="AL17" s="32">
        <v>36</v>
      </c>
      <c r="AM17" s="32">
        <v>9</v>
      </c>
      <c r="AN17" s="32">
        <v>10</v>
      </c>
      <c r="AO17" s="32">
        <v>20</v>
      </c>
      <c r="AP17" s="32">
        <v>20</v>
      </c>
      <c r="AQ17" s="32">
        <v>25</v>
      </c>
      <c r="AR17" s="32">
        <v>27</v>
      </c>
      <c r="AS17" s="32">
        <v>43</v>
      </c>
      <c r="AT17" s="32">
        <v>48</v>
      </c>
      <c r="AU17" s="32">
        <v>122.99999999999999</v>
      </c>
      <c r="AV17" s="32">
        <v>34</v>
      </c>
      <c r="AW17" s="32">
        <v>27</v>
      </c>
      <c r="AX17" s="32">
        <v>56</v>
      </c>
      <c r="AY17" s="32">
        <v>45</v>
      </c>
      <c r="AZ17" s="32">
        <v>48.999999999999993</v>
      </c>
    </row>
    <row r="18" spans="1:52">
      <c r="A18" s="31">
        <v>16</v>
      </c>
      <c r="B18" s="32">
        <v>17</v>
      </c>
      <c r="C18" s="32">
        <v>40</v>
      </c>
      <c r="D18" s="32">
        <v>10</v>
      </c>
      <c r="E18" s="32">
        <v>12</v>
      </c>
      <c r="F18" s="32">
        <v>20.999999999999996</v>
      </c>
      <c r="G18" s="32">
        <v>11</v>
      </c>
      <c r="H18" s="32">
        <v>14</v>
      </c>
      <c r="I18" s="32">
        <v>13.000000000000002</v>
      </c>
      <c r="J18" s="32">
        <v>10</v>
      </c>
      <c r="K18" s="32">
        <v>6</v>
      </c>
      <c r="L18" s="32">
        <v>7</v>
      </c>
      <c r="M18" s="32">
        <v>10</v>
      </c>
      <c r="N18" s="32">
        <v>11</v>
      </c>
      <c r="O18" s="32">
        <v>18</v>
      </c>
      <c r="P18" s="32">
        <v>20</v>
      </c>
      <c r="Q18" s="32">
        <v>22</v>
      </c>
      <c r="R18" s="32">
        <v>9999</v>
      </c>
      <c r="S18" s="32">
        <v>12</v>
      </c>
      <c r="T18" s="32">
        <v>14</v>
      </c>
      <c r="U18" s="32">
        <v>39</v>
      </c>
      <c r="V18" s="32">
        <v>20</v>
      </c>
      <c r="W18" s="32">
        <v>28</v>
      </c>
      <c r="X18" s="32">
        <v>20.999999999999996</v>
      </c>
      <c r="Y18" s="32">
        <v>27</v>
      </c>
      <c r="Z18" s="32">
        <v>33</v>
      </c>
      <c r="AA18" s="32">
        <v>39</v>
      </c>
      <c r="AB18" s="32">
        <v>52.000000000000007</v>
      </c>
      <c r="AC18" s="32">
        <v>120.99999999999999</v>
      </c>
      <c r="AD18" s="32">
        <v>46.000000000000007</v>
      </c>
      <c r="AE18" s="32">
        <v>26.000000000000004</v>
      </c>
      <c r="AF18" s="32">
        <v>71</v>
      </c>
      <c r="AG18" s="32">
        <v>5</v>
      </c>
      <c r="AH18" s="32">
        <v>6</v>
      </c>
      <c r="AI18" s="32">
        <v>10</v>
      </c>
      <c r="AJ18" s="32">
        <v>8</v>
      </c>
      <c r="AK18" s="32">
        <v>5</v>
      </c>
      <c r="AL18" s="32">
        <v>32</v>
      </c>
      <c r="AM18" s="32">
        <v>38</v>
      </c>
      <c r="AN18" s="32">
        <v>31.000000000000004</v>
      </c>
      <c r="AO18" s="32">
        <v>16</v>
      </c>
      <c r="AP18" s="32">
        <v>14</v>
      </c>
      <c r="AQ18" s="32">
        <v>25</v>
      </c>
      <c r="AR18" s="32">
        <v>30</v>
      </c>
      <c r="AS18" s="32">
        <v>38</v>
      </c>
      <c r="AT18" s="32">
        <v>48</v>
      </c>
      <c r="AU18" s="32">
        <v>121.99999999999999</v>
      </c>
      <c r="AV18" s="32">
        <v>30</v>
      </c>
      <c r="AW18" s="32">
        <v>23.000000000000004</v>
      </c>
      <c r="AX18" s="32">
        <v>59</v>
      </c>
      <c r="AY18" s="32">
        <v>47</v>
      </c>
      <c r="AZ18" s="32">
        <v>64</v>
      </c>
    </row>
    <row r="19" spans="1:52">
      <c r="A19" s="31">
        <v>17</v>
      </c>
      <c r="B19" s="32">
        <v>11</v>
      </c>
      <c r="C19" s="32">
        <v>33</v>
      </c>
      <c r="D19" s="32">
        <v>3</v>
      </c>
      <c r="E19" s="32">
        <v>3</v>
      </c>
      <c r="F19" s="32">
        <v>16</v>
      </c>
      <c r="G19" s="32">
        <v>4</v>
      </c>
      <c r="H19" s="32">
        <v>9</v>
      </c>
      <c r="I19" s="32">
        <v>5</v>
      </c>
      <c r="J19" s="32">
        <v>9</v>
      </c>
      <c r="K19" s="32">
        <v>8</v>
      </c>
      <c r="L19" s="32">
        <v>10</v>
      </c>
      <c r="M19" s="32">
        <v>4</v>
      </c>
      <c r="N19" s="32">
        <v>2</v>
      </c>
      <c r="O19" s="32">
        <v>11</v>
      </c>
      <c r="P19" s="32">
        <v>13.000000000000002</v>
      </c>
      <c r="Q19" s="32">
        <v>26.000000000000004</v>
      </c>
      <c r="R19" s="32">
        <v>10</v>
      </c>
      <c r="S19" s="32">
        <v>9999</v>
      </c>
      <c r="T19" s="32">
        <v>8</v>
      </c>
      <c r="U19" s="32">
        <v>32</v>
      </c>
      <c r="V19" s="32">
        <v>13.000000000000002</v>
      </c>
      <c r="W19" s="32">
        <v>27</v>
      </c>
      <c r="X19" s="32">
        <v>14</v>
      </c>
      <c r="Y19" s="32">
        <v>24</v>
      </c>
      <c r="Z19" s="32">
        <v>26.000000000000004</v>
      </c>
      <c r="AA19" s="32">
        <v>32</v>
      </c>
      <c r="AB19" s="32">
        <v>50</v>
      </c>
      <c r="AC19" s="32">
        <v>118</v>
      </c>
      <c r="AD19" s="32">
        <v>40</v>
      </c>
      <c r="AE19" s="32">
        <v>27</v>
      </c>
      <c r="AF19" s="32">
        <v>64</v>
      </c>
      <c r="AG19" s="32">
        <v>9</v>
      </c>
      <c r="AH19" s="32">
        <v>6</v>
      </c>
      <c r="AI19" s="32">
        <v>5</v>
      </c>
      <c r="AJ19" s="32">
        <v>6</v>
      </c>
      <c r="AK19" s="32">
        <v>9</v>
      </c>
      <c r="AL19" s="32">
        <v>29.000000000000004</v>
      </c>
      <c r="AM19" s="32">
        <v>34</v>
      </c>
      <c r="AN19" s="32">
        <v>35</v>
      </c>
      <c r="AO19" s="32">
        <v>12</v>
      </c>
      <c r="AP19" s="32">
        <v>8</v>
      </c>
      <c r="AQ19" s="32">
        <v>22</v>
      </c>
      <c r="AR19" s="32">
        <v>23.000000000000004</v>
      </c>
      <c r="AS19" s="32">
        <v>32</v>
      </c>
      <c r="AT19" s="32">
        <v>45</v>
      </c>
      <c r="AU19" s="32">
        <v>120</v>
      </c>
      <c r="AV19" s="32">
        <v>23.000000000000004</v>
      </c>
      <c r="AW19" s="32">
        <v>16</v>
      </c>
      <c r="AX19" s="32">
        <v>57</v>
      </c>
      <c r="AY19" s="32">
        <v>40</v>
      </c>
      <c r="AZ19" s="32">
        <v>66</v>
      </c>
    </row>
    <row r="20" spans="1:52">
      <c r="A20" s="31">
        <v>18</v>
      </c>
      <c r="B20" s="32">
        <v>5</v>
      </c>
      <c r="C20" s="32">
        <v>27</v>
      </c>
      <c r="D20" s="32">
        <v>9</v>
      </c>
      <c r="E20" s="32">
        <v>8</v>
      </c>
      <c r="F20" s="32">
        <v>10</v>
      </c>
      <c r="G20" s="32">
        <v>8</v>
      </c>
      <c r="H20" s="32">
        <v>4</v>
      </c>
      <c r="I20" s="32">
        <v>9</v>
      </c>
      <c r="J20" s="32">
        <v>12</v>
      </c>
      <c r="K20" s="32">
        <v>11</v>
      </c>
      <c r="L20" s="32">
        <v>11</v>
      </c>
      <c r="M20" s="32">
        <v>10</v>
      </c>
      <c r="N20" s="32">
        <v>9</v>
      </c>
      <c r="O20" s="32">
        <v>5</v>
      </c>
      <c r="P20" s="32">
        <v>10</v>
      </c>
      <c r="Q20" s="32">
        <v>22</v>
      </c>
      <c r="R20" s="32">
        <v>13.000000000000002</v>
      </c>
      <c r="S20" s="32">
        <v>9</v>
      </c>
      <c r="T20" s="32">
        <v>9999</v>
      </c>
      <c r="U20" s="32">
        <v>30</v>
      </c>
      <c r="V20" s="32">
        <v>10</v>
      </c>
      <c r="W20" s="32">
        <v>23.000000000000004</v>
      </c>
      <c r="X20" s="32">
        <v>8</v>
      </c>
      <c r="Y20" s="32">
        <v>19</v>
      </c>
      <c r="Z20" s="32">
        <v>24</v>
      </c>
      <c r="AA20" s="32">
        <v>30</v>
      </c>
      <c r="AB20" s="32">
        <v>47</v>
      </c>
      <c r="AC20" s="32">
        <v>114.99999999999999</v>
      </c>
      <c r="AD20" s="32">
        <v>37</v>
      </c>
      <c r="AE20" s="32">
        <v>24</v>
      </c>
      <c r="AF20" s="32">
        <v>62.000000000000007</v>
      </c>
      <c r="AG20" s="32">
        <v>12</v>
      </c>
      <c r="AH20" s="32">
        <v>9</v>
      </c>
      <c r="AI20" s="32">
        <v>8</v>
      </c>
      <c r="AJ20" s="32">
        <v>10</v>
      </c>
      <c r="AK20" s="32">
        <v>12</v>
      </c>
      <c r="AL20" s="32">
        <v>25</v>
      </c>
      <c r="AM20" s="32">
        <v>31.000000000000004</v>
      </c>
      <c r="AN20" s="32">
        <v>32</v>
      </c>
      <c r="AO20" s="32">
        <v>3</v>
      </c>
      <c r="AP20" s="32">
        <v>9</v>
      </c>
      <c r="AQ20" s="32">
        <v>17</v>
      </c>
      <c r="AR20" s="32">
        <v>23.000000000000004</v>
      </c>
      <c r="AS20" s="32">
        <v>26.000000000000004</v>
      </c>
      <c r="AT20" s="32">
        <v>41</v>
      </c>
      <c r="AU20" s="32">
        <v>116.00000000000001</v>
      </c>
      <c r="AV20" s="32">
        <v>17</v>
      </c>
      <c r="AW20" s="32">
        <v>10</v>
      </c>
      <c r="AX20" s="32">
        <v>54.999999999999993</v>
      </c>
      <c r="AY20" s="32">
        <v>38</v>
      </c>
      <c r="AZ20" s="32">
        <v>62.000000000000007</v>
      </c>
    </row>
    <row r="21" spans="1:52">
      <c r="A21" s="31">
        <v>19</v>
      </c>
      <c r="B21" s="32">
        <v>28</v>
      </c>
      <c r="C21" s="32">
        <v>50</v>
      </c>
      <c r="D21" s="32">
        <v>34</v>
      </c>
      <c r="E21" s="32">
        <v>34</v>
      </c>
      <c r="F21" s="32">
        <v>37</v>
      </c>
      <c r="G21" s="32">
        <v>31.000000000000004</v>
      </c>
      <c r="H21" s="32">
        <v>33</v>
      </c>
      <c r="I21" s="32">
        <v>36</v>
      </c>
      <c r="J21" s="32">
        <v>37</v>
      </c>
      <c r="K21" s="32">
        <v>34</v>
      </c>
      <c r="L21" s="32">
        <v>33</v>
      </c>
      <c r="M21" s="32">
        <v>33</v>
      </c>
      <c r="N21" s="32">
        <v>33</v>
      </c>
      <c r="O21" s="32">
        <v>29.000000000000004</v>
      </c>
      <c r="P21" s="32">
        <v>26.000000000000004</v>
      </c>
      <c r="Q21" s="32">
        <v>38</v>
      </c>
      <c r="R21" s="32">
        <v>36</v>
      </c>
      <c r="S21" s="32">
        <v>33</v>
      </c>
      <c r="T21" s="32">
        <v>30</v>
      </c>
      <c r="U21" s="32">
        <v>9999</v>
      </c>
      <c r="V21" s="32">
        <v>26.000000000000004</v>
      </c>
      <c r="W21" s="32">
        <v>27</v>
      </c>
      <c r="X21" s="32">
        <v>32</v>
      </c>
      <c r="Y21" s="32">
        <v>53</v>
      </c>
      <c r="Z21" s="32">
        <v>10</v>
      </c>
      <c r="AA21" s="32">
        <v>1</v>
      </c>
      <c r="AB21" s="32">
        <v>73.000000000000014</v>
      </c>
      <c r="AC21" s="32">
        <v>141</v>
      </c>
      <c r="AD21" s="32">
        <v>18</v>
      </c>
      <c r="AE21" s="32">
        <v>36</v>
      </c>
      <c r="AF21" s="32">
        <v>35</v>
      </c>
      <c r="AG21" s="32">
        <v>34</v>
      </c>
      <c r="AH21" s="32">
        <v>32</v>
      </c>
      <c r="AI21" s="32">
        <v>36</v>
      </c>
      <c r="AJ21" s="32">
        <v>35</v>
      </c>
      <c r="AK21" s="32">
        <v>34</v>
      </c>
      <c r="AL21" s="32">
        <v>52.000000000000007</v>
      </c>
      <c r="AM21" s="32">
        <v>47</v>
      </c>
      <c r="AN21" s="32">
        <v>48</v>
      </c>
      <c r="AO21" s="32">
        <v>28</v>
      </c>
      <c r="AP21" s="32">
        <v>27</v>
      </c>
      <c r="AQ21" s="32">
        <v>43</v>
      </c>
      <c r="AR21" s="32">
        <v>24</v>
      </c>
      <c r="AS21" s="32">
        <v>48.999999999999993</v>
      </c>
      <c r="AT21" s="32">
        <v>67</v>
      </c>
      <c r="AU21" s="32">
        <v>143</v>
      </c>
      <c r="AV21" s="32">
        <v>46.000000000000007</v>
      </c>
      <c r="AW21" s="32">
        <v>34</v>
      </c>
      <c r="AX21" s="32">
        <v>45</v>
      </c>
      <c r="AY21" s="32">
        <v>18</v>
      </c>
      <c r="AZ21" s="32">
        <v>76</v>
      </c>
    </row>
    <row r="22" spans="1:52">
      <c r="A22" s="31">
        <v>20</v>
      </c>
      <c r="B22" s="32">
        <v>7</v>
      </c>
      <c r="C22" s="32">
        <v>30</v>
      </c>
      <c r="D22" s="32">
        <v>15</v>
      </c>
      <c r="E22" s="32">
        <v>15</v>
      </c>
      <c r="F22" s="32">
        <v>16</v>
      </c>
      <c r="G22" s="32">
        <v>12</v>
      </c>
      <c r="H22" s="32">
        <v>14</v>
      </c>
      <c r="I22" s="32">
        <v>16</v>
      </c>
      <c r="J22" s="32">
        <v>18</v>
      </c>
      <c r="K22" s="32">
        <v>15</v>
      </c>
      <c r="L22" s="32">
        <v>14</v>
      </c>
      <c r="M22" s="32">
        <v>14</v>
      </c>
      <c r="N22" s="32">
        <v>14</v>
      </c>
      <c r="O22" s="32">
        <v>7</v>
      </c>
      <c r="P22" s="32">
        <v>0</v>
      </c>
      <c r="Q22" s="32">
        <v>23.000000000000004</v>
      </c>
      <c r="R22" s="32">
        <v>17</v>
      </c>
      <c r="S22" s="32">
        <v>14</v>
      </c>
      <c r="T22" s="32">
        <v>11</v>
      </c>
      <c r="U22" s="32">
        <v>29.000000000000004</v>
      </c>
      <c r="V22" s="32">
        <v>9999</v>
      </c>
      <c r="W22" s="32">
        <v>27</v>
      </c>
      <c r="X22" s="32">
        <v>11</v>
      </c>
      <c r="Y22" s="32">
        <v>25</v>
      </c>
      <c r="Z22" s="32">
        <v>19</v>
      </c>
      <c r="AA22" s="32">
        <v>25</v>
      </c>
      <c r="AB22" s="32">
        <v>52.000000000000007</v>
      </c>
      <c r="AC22" s="32">
        <v>120</v>
      </c>
      <c r="AD22" s="32">
        <v>37</v>
      </c>
      <c r="AE22" s="32">
        <v>25</v>
      </c>
      <c r="AF22" s="32">
        <v>57</v>
      </c>
      <c r="AG22" s="32">
        <v>16</v>
      </c>
      <c r="AH22" s="32">
        <v>13.000000000000002</v>
      </c>
      <c r="AI22" s="32">
        <v>17</v>
      </c>
      <c r="AJ22" s="32">
        <v>16</v>
      </c>
      <c r="AK22" s="32">
        <v>16</v>
      </c>
      <c r="AL22" s="32">
        <v>31.000000000000004</v>
      </c>
      <c r="AM22" s="32">
        <v>32</v>
      </c>
      <c r="AN22" s="32">
        <v>33</v>
      </c>
      <c r="AO22" s="32">
        <v>9</v>
      </c>
      <c r="AP22" s="32">
        <v>8</v>
      </c>
      <c r="AQ22" s="32">
        <v>22</v>
      </c>
      <c r="AR22" s="32">
        <v>14</v>
      </c>
      <c r="AS22" s="32">
        <v>28</v>
      </c>
      <c r="AT22" s="32">
        <v>47</v>
      </c>
      <c r="AU22" s="32">
        <v>121.99999999999999</v>
      </c>
      <c r="AV22" s="32">
        <v>20</v>
      </c>
      <c r="AW22" s="32">
        <v>13.000000000000002</v>
      </c>
      <c r="AX22" s="32">
        <v>50</v>
      </c>
      <c r="AY22" s="32">
        <v>33</v>
      </c>
      <c r="AZ22" s="32">
        <v>63.000000000000007</v>
      </c>
    </row>
    <row r="23" spans="1:52">
      <c r="A23" s="31">
        <v>21</v>
      </c>
      <c r="B23" s="32">
        <v>24</v>
      </c>
      <c r="C23" s="32">
        <v>46.000000000000007</v>
      </c>
      <c r="D23" s="32">
        <v>28</v>
      </c>
      <c r="E23" s="32">
        <v>39</v>
      </c>
      <c r="F23" s="32">
        <v>32</v>
      </c>
      <c r="G23" s="32">
        <v>25</v>
      </c>
      <c r="H23" s="32">
        <v>27</v>
      </c>
      <c r="I23" s="32">
        <v>30</v>
      </c>
      <c r="J23" s="32">
        <v>28</v>
      </c>
      <c r="K23" s="32">
        <v>24</v>
      </c>
      <c r="L23" s="32">
        <v>20.999999999999996</v>
      </c>
      <c r="M23" s="32">
        <v>26.000000000000004</v>
      </c>
      <c r="N23" s="32">
        <v>26.000000000000004</v>
      </c>
      <c r="O23" s="32">
        <v>23.000000000000004</v>
      </c>
      <c r="P23" s="32">
        <v>24</v>
      </c>
      <c r="Q23" s="32">
        <v>26.000000000000004</v>
      </c>
      <c r="R23" s="32">
        <v>25</v>
      </c>
      <c r="S23" s="32">
        <v>27</v>
      </c>
      <c r="T23" s="32">
        <v>23.000000000000004</v>
      </c>
      <c r="U23" s="32">
        <v>26.000000000000004</v>
      </c>
      <c r="V23" s="32">
        <v>24</v>
      </c>
      <c r="W23" s="32">
        <v>9999</v>
      </c>
      <c r="X23" s="32">
        <v>27</v>
      </c>
      <c r="Y23" s="32">
        <v>39</v>
      </c>
      <c r="Z23" s="32">
        <v>20</v>
      </c>
      <c r="AA23" s="32">
        <v>26.000000000000004</v>
      </c>
      <c r="AB23" s="32">
        <v>65</v>
      </c>
      <c r="AC23" s="32">
        <v>134</v>
      </c>
      <c r="AD23" s="32">
        <v>33</v>
      </c>
      <c r="AE23" s="32">
        <v>24</v>
      </c>
      <c r="AF23" s="32">
        <v>58.000000000000007</v>
      </c>
      <c r="AG23" s="32">
        <v>24</v>
      </c>
      <c r="AH23" s="32">
        <v>24</v>
      </c>
      <c r="AI23" s="32">
        <v>28</v>
      </c>
      <c r="AJ23" s="32">
        <v>38</v>
      </c>
      <c r="AK23" s="32">
        <v>24</v>
      </c>
      <c r="AL23" s="32">
        <v>45</v>
      </c>
      <c r="AM23" s="32">
        <v>34</v>
      </c>
      <c r="AN23" s="32">
        <v>35</v>
      </c>
      <c r="AO23" s="32">
        <v>22</v>
      </c>
      <c r="AP23" s="32">
        <v>20.999999999999996</v>
      </c>
      <c r="AQ23" s="32">
        <v>36</v>
      </c>
      <c r="AR23" s="32">
        <v>23.000000000000004</v>
      </c>
      <c r="AS23" s="32">
        <v>45</v>
      </c>
      <c r="AT23" s="32">
        <v>60.999999999999993</v>
      </c>
      <c r="AU23" s="32">
        <v>135</v>
      </c>
      <c r="AV23" s="32">
        <v>36</v>
      </c>
      <c r="AW23" s="32">
        <v>29.000000000000004</v>
      </c>
      <c r="AX23" s="32">
        <v>39</v>
      </c>
      <c r="AY23" s="32">
        <v>34</v>
      </c>
      <c r="AZ23" s="32">
        <v>64</v>
      </c>
    </row>
    <row r="24" spans="1:52">
      <c r="A24" s="31">
        <v>22</v>
      </c>
      <c r="B24" s="32">
        <v>6</v>
      </c>
      <c r="C24" s="32">
        <v>20</v>
      </c>
      <c r="D24" s="32">
        <v>14</v>
      </c>
      <c r="E24" s="32">
        <v>13.000000000000002</v>
      </c>
      <c r="F24" s="32">
        <v>13.000000000000002</v>
      </c>
      <c r="G24" s="32">
        <v>13.000000000000002</v>
      </c>
      <c r="H24" s="32">
        <v>11</v>
      </c>
      <c r="I24" s="32">
        <v>14</v>
      </c>
      <c r="J24" s="32">
        <v>24</v>
      </c>
      <c r="K24" s="32">
        <v>16</v>
      </c>
      <c r="L24" s="32">
        <v>17</v>
      </c>
      <c r="M24" s="32">
        <v>15</v>
      </c>
      <c r="N24" s="32">
        <v>14</v>
      </c>
      <c r="O24" s="32">
        <v>8</v>
      </c>
      <c r="P24" s="32">
        <v>10</v>
      </c>
      <c r="Q24" s="32">
        <v>25</v>
      </c>
      <c r="R24" s="32">
        <v>18</v>
      </c>
      <c r="S24" s="32">
        <v>14</v>
      </c>
      <c r="T24" s="32">
        <v>8</v>
      </c>
      <c r="U24" s="32">
        <v>31.000000000000004</v>
      </c>
      <c r="V24" s="32">
        <v>10</v>
      </c>
      <c r="W24" s="32">
        <v>26.000000000000004</v>
      </c>
      <c r="X24" s="32">
        <v>9999</v>
      </c>
      <c r="Y24" s="32">
        <v>22</v>
      </c>
      <c r="Z24" s="32">
        <v>24</v>
      </c>
      <c r="AA24" s="32">
        <v>30</v>
      </c>
      <c r="AB24" s="32">
        <v>48.999999999999993</v>
      </c>
      <c r="AC24" s="32">
        <v>118</v>
      </c>
      <c r="AD24" s="32">
        <v>38</v>
      </c>
      <c r="AE24" s="32">
        <v>27</v>
      </c>
      <c r="AF24" s="32">
        <v>62.000000000000007</v>
      </c>
      <c r="AG24" s="32">
        <v>17</v>
      </c>
      <c r="AH24" s="32">
        <v>14</v>
      </c>
      <c r="AI24" s="32">
        <v>14</v>
      </c>
      <c r="AJ24" s="32">
        <v>15</v>
      </c>
      <c r="AK24" s="32">
        <v>16</v>
      </c>
      <c r="AL24" s="32">
        <v>28</v>
      </c>
      <c r="AM24" s="32">
        <v>34</v>
      </c>
      <c r="AN24" s="32">
        <v>35</v>
      </c>
      <c r="AO24" s="32">
        <v>7</v>
      </c>
      <c r="AP24" s="32">
        <v>12</v>
      </c>
      <c r="AQ24" s="32">
        <v>28</v>
      </c>
      <c r="AR24" s="32">
        <v>18</v>
      </c>
      <c r="AS24" s="32">
        <v>19</v>
      </c>
      <c r="AT24" s="32">
        <v>44</v>
      </c>
      <c r="AU24" s="32">
        <v>119</v>
      </c>
      <c r="AV24" s="32">
        <v>10</v>
      </c>
      <c r="AW24" s="32">
        <v>4</v>
      </c>
      <c r="AX24" s="32">
        <v>54.999999999999993</v>
      </c>
      <c r="AY24" s="32">
        <v>38</v>
      </c>
      <c r="AZ24" s="32">
        <v>65</v>
      </c>
    </row>
    <row r="25" spans="1:52">
      <c r="A25" s="31">
        <v>23</v>
      </c>
      <c r="B25" s="32">
        <v>18</v>
      </c>
      <c r="C25" s="32">
        <v>47</v>
      </c>
      <c r="D25" s="32">
        <v>24</v>
      </c>
      <c r="E25" s="32">
        <v>22</v>
      </c>
      <c r="F25" s="32">
        <v>17</v>
      </c>
      <c r="G25" s="32">
        <v>33</v>
      </c>
      <c r="H25" s="32">
        <v>18</v>
      </c>
      <c r="I25" s="32">
        <v>22</v>
      </c>
      <c r="J25" s="32">
        <v>18</v>
      </c>
      <c r="K25" s="32">
        <v>25</v>
      </c>
      <c r="L25" s="32">
        <v>26.000000000000004</v>
      </c>
      <c r="M25" s="32">
        <v>24</v>
      </c>
      <c r="N25" s="32">
        <v>24</v>
      </c>
      <c r="O25" s="32">
        <v>22</v>
      </c>
      <c r="P25" s="32">
        <v>24</v>
      </c>
      <c r="Q25" s="32">
        <v>30</v>
      </c>
      <c r="R25" s="32">
        <v>25</v>
      </c>
      <c r="S25" s="32">
        <v>24</v>
      </c>
      <c r="T25" s="32">
        <v>19</v>
      </c>
      <c r="U25" s="32">
        <v>44</v>
      </c>
      <c r="V25" s="32">
        <v>24</v>
      </c>
      <c r="W25" s="32">
        <v>39</v>
      </c>
      <c r="X25" s="32">
        <v>20.999999999999996</v>
      </c>
      <c r="Y25" s="32">
        <v>9999</v>
      </c>
      <c r="Z25" s="32">
        <v>38</v>
      </c>
      <c r="AA25" s="32">
        <v>44</v>
      </c>
      <c r="AB25" s="32">
        <v>34</v>
      </c>
      <c r="AC25" s="32">
        <v>107</v>
      </c>
      <c r="AD25" s="32">
        <v>52.000000000000007</v>
      </c>
      <c r="AE25" s="32">
        <v>34</v>
      </c>
      <c r="AF25" s="32">
        <v>76</v>
      </c>
      <c r="AG25" s="32">
        <v>25</v>
      </c>
      <c r="AH25" s="32">
        <v>25</v>
      </c>
      <c r="AI25" s="32">
        <v>20</v>
      </c>
      <c r="AJ25" s="32">
        <v>22</v>
      </c>
      <c r="AK25" s="32">
        <v>25</v>
      </c>
      <c r="AL25" s="32">
        <v>17</v>
      </c>
      <c r="AM25" s="32">
        <v>38</v>
      </c>
      <c r="AN25" s="32">
        <v>37</v>
      </c>
      <c r="AO25" s="32">
        <v>19</v>
      </c>
      <c r="AP25" s="32">
        <v>26.000000000000004</v>
      </c>
      <c r="AQ25" s="32">
        <v>4</v>
      </c>
      <c r="AR25" s="32">
        <v>32</v>
      </c>
      <c r="AS25" s="32">
        <v>39</v>
      </c>
      <c r="AT25" s="32">
        <v>33</v>
      </c>
      <c r="AU25" s="32">
        <v>108</v>
      </c>
      <c r="AV25" s="32">
        <v>30</v>
      </c>
      <c r="AW25" s="32">
        <v>24</v>
      </c>
      <c r="AX25" s="32">
        <v>69</v>
      </c>
      <c r="AY25" s="32">
        <v>60.999999999999993</v>
      </c>
      <c r="AZ25" s="32">
        <v>75</v>
      </c>
    </row>
    <row r="26" spans="1:52">
      <c r="A26" s="31">
        <v>24</v>
      </c>
      <c r="B26" s="32">
        <v>22</v>
      </c>
      <c r="C26" s="32">
        <v>44</v>
      </c>
      <c r="D26" s="32">
        <v>28</v>
      </c>
      <c r="E26" s="32">
        <v>28</v>
      </c>
      <c r="F26" s="32">
        <v>30</v>
      </c>
      <c r="G26" s="32">
        <v>25</v>
      </c>
      <c r="H26" s="32">
        <v>27</v>
      </c>
      <c r="I26" s="32">
        <v>29.000000000000004</v>
      </c>
      <c r="J26" s="32">
        <v>31.000000000000004</v>
      </c>
      <c r="K26" s="32">
        <v>28</v>
      </c>
      <c r="L26" s="32">
        <v>27</v>
      </c>
      <c r="M26" s="32">
        <v>27</v>
      </c>
      <c r="N26" s="32">
        <v>26.000000000000004</v>
      </c>
      <c r="O26" s="32">
        <v>23.000000000000004</v>
      </c>
      <c r="P26" s="32">
        <v>24</v>
      </c>
      <c r="Q26" s="32">
        <v>39</v>
      </c>
      <c r="R26" s="32">
        <v>30</v>
      </c>
      <c r="S26" s="32">
        <v>27</v>
      </c>
      <c r="T26" s="32">
        <v>23.000000000000004</v>
      </c>
      <c r="U26" s="32">
        <v>11</v>
      </c>
      <c r="V26" s="32">
        <v>20</v>
      </c>
      <c r="W26" s="32">
        <v>20.999999999999996</v>
      </c>
      <c r="X26" s="32">
        <v>25</v>
      </c>
      <c r="Y26" s="32">
        <v>39</v>
      </c>
      <c r="Z26" s="32">
        <v>9999</v>
      </c>
      <c r="AA26" s="32">
        <v>10</v>
      </c>
      <c r="AB26" s="32">
        <v>67</v>
      </c>
      <c r="AC26" s="32">
        <v>135</v>
      </c>
      <c r="AD26" s="32">
        <v>18</v>
      </c>
      <c r="AE26" s="32">
        <v>30</v>
      </c>
      <c r="AF26" s="32">
        <v>41.999999999999993</v>
      </c>
      <c r="AG26" s="32">
        <v>28</v>
      </c>
      <c r="AH26" s="32">
        <v>26.000000000000004</v>
      </c>
      <c r="AI26" s="32">
        <v>30</v>
      </c>
      <c r="AJ26" s="32">
        <v>29.000000000000004</v>
      </c>
      <c r="AK26" s="32">
        <v>36</v>
      </c>
      <c r="AL26" s="32">
        <v>45</v>
      </c>
      <c r="AM26" s="32">
        <v>40</v>
      </c>
      <c r="AN26" s="32">
        <v>41.999999999999993</v>
      </c>
      <c r="AO26" s="32">
        <v>22</v>
      </c>
      <c r="AP26" s="32">
        <v>20</v>
      </c>
      <c r="AQ26" s="32">
        <v>37</v>
      </c>
      <c r="AR26" s="32">
        <v>18</v>
      </c>
      <c r="AS26" s="32">
        <v>43</v>
      </c>
      <c r="AT26" s="32">
        <v>60.999999999999993</v>
      </c>
      <c r="AU26" s="32">
        <v>137</v>
      </c>
      <c r="AV26" s="32">
        <v>34</v>
      </c>
      <c r="AW26" s="32">
        <v>28</v>
      </c>
      <c r="AX26" s="32">
        <v>39</v>
      </c>
      <c r="AY26" s="32">
        <v>18</v>
      </c>
      <c r="AZ26" s="32">
        <v>70</v>
      </c>
    </row>
    <row r="27" spans="1:52">
      <c r="A27" s="31">
        <v>25</v>
      </c>
      <c r="B27" s="32">
        <v>28</v>
      </c>
      <c r="C27" s="32">
        <v>50</v>
      </c>
      <c r="D27" s="32">
        <v>33</v>
      </c>
      <c r="E27" s="32">
        <v>34</v>
      </c>
      <c r="F27" s="32">
        <v>36</v>
      </c>
      <c r="G27" s="32">
        <v>31.000000000000004</v>
      </c>
      <c r="H27" s="32">
        <v>33</v>
      </c>
      <c r="I27" s="32">
        <v>35</v>
      </c>
      <c r="J27" s="32">
        <v>36</v>
      </c>
      <c r="K27" s="32">
        <v>33</v>
      </c>
      <c r="L27" s="32">
        <v>32</v>
      </c>
      <c r="M27" s="32">
        <v>33</v>
      </c>
      <c r="N27" s="32">
        <v>32</v>
      </c>
      <c r="O27" s="32">
        <v>31.000000000000004</v>
      </c>
      <c r="P27" s="32">
        <v>26.000000000000004</v>
      </c>
      <c r="Q27" s="32">
        <v>37</v>
      </c>
      <c r="R27" s="32">
        <v>44</v>
      </c>
      <c r="S27" s="32">
        <v>33</v>
      </c>
      <c r="T27" s="32">
        <v>29.000000000000004</v>
      </c>
      <c r="U27" s="32">
        <v>2</v>
      </c>
      <c r="V27" s="32">
        <v>26.000000000000004</v>
      </c>
      <c r="W27" s="32">
        <v>26.000000000000004</v>
      </c>
      <c r="X27" s="32">
        <v>31.000000000000004</v>
      </c>
      <c r="Y27" s="32">
        <v>45</v>
      </c>
      <c r="Z27" s="32">
        <v>9</v>
      </c>
      <c r="AA27" s="32">
        <v>9999</v>
      </c>
      <c r="AB27" s="32">
        <v>72</v>
      </c>
      <c r="AC27" s="32">
        <v>141</v>
      </c>
      <c r="AD27" s="32">
        <v>17</v>
      </c>
      <c r="AE27" s="32">
        <v>35</v>
      </c>
      <c r="AF27" s="32">
        <v>36</v>
      </c>
      <c r="AG27" s="32">
        <v>34</v>
      </c>
      <c r="AH27" s="32">
        <v>31.000000000000004</v>
      </c>
      <c r="AI27" s="32">
        <v>35</v>
      </c>
      <c r="AJ27" s="32">
        <v>34</v>
      </c>
      <c r="AK27" s="32">
        <v>34</v>
      </c>
      <c r="AL27" s="32">
        <v>51</v>
      </c>
      <c r="AM27" s="32">
        <v>46.000000000000007</v>
      </c>
      <c r="AN27" s="32">
        <v>47</v>
      </c>
      <c r="AO27" s="32">
        <v>28</v>
      </c>
      <c r="AP27" s="32">
        <v>26.000000000000004</v>
      </c>
      <c r="AQ27" s="32">
        <v>41.999999999999993</v>
      </c>
      <c r="AR27" s="32">
        <v>24</v>
      </c>
      <c r="AS27" s="32">
        <v>48</v>
      </c>
      <c r="AT27" s="32">
        <v>67</v>
      </c>
      <c r="AU27" s="32">
        <v>154</v>
      </c>
      <c r="AV27" s="32">
        <v>40</v>
      </c>
      <c r="AW27" s="32">
        <v>33</v>
      </c>
      <c r="AX27" s="32">
        <v>44</v>
      </c>
      <c r="AY27" s="32">
        <v>17</v>
      </c>
      <c r="AZ27" s="32">
        <v>75</v>
      </c>
    </row>
    <row r="28" spans="1:52">
      <c r="A28" s="31">
        <v>26</v>
      </c>
      <c r="B28" s="32">
        <v>45</v>
      </c>
      <c r="C28" s="32">
        <v>68</v>
      </c>
      <c r="D28" s="32">
        <v>50</v>
      </c>
      <c r="E28" s="32">
        <v>48</v>
      </c>
      <c r="F28" s="32">
        <v>44</v>
      </c>
      <c r="G28" s="32">
        <v>50</v>
      </c>
      <c r="H28" s="32">
        <v>46.000000000000007</v>
      </c>
      <c r="I28" s="32">
        <v>48</v>
      </c>
      <c r="J28" s="32">
        <v>45</v>
      </c>
      <c r="K28" s="32">
        <v>53</v>
      </c>
      <c r="L28" s="32">
        <v>54</v>
      </c>
      <c r="M28" s="32">
        <v>51</v>
      </c>
      <c r="N28" s="32">
        <v>51</v>
      </c>
      <c r="O28" s="32">
        <v>50</v>
      </c>
      <c r="P28" s="32">
        <v>52.000000000000007</v>
      </c>
      <c r="Q28" s="32">
        <v>54.999999999999993</v>
      </c>
      <c r="R28" s="32">
        <v>52.000000000000007</v>
      </c>
      <c r="S28" s="32">
        <v>50</v>
      </c>
      <c r="T28" s="32">
        <v>46.000000000000007</v>
      </c>
      <c r="U28" s="32">
        <v>72</v>
      </c>
      <c r="V28" s="32">
        <v>52.000000000000007</v>
      </c>
      <c r="W28" s="32">
        <v>66</v>
      </c>
      <c r="X28" s="32">
        <v>48.999999999999993</v>
      </c>
      <c r="Y28" s="32">
        <v>36</v>
      </c>
      <c r="Z28" s="32">
        <v>66</v>
      </c>
      <c r="AA28" s="32">
        <v>72</v>
      </c>
      <c r="AB28" s="32">
        <v>9999</v>
      </c>
      <c r="AC28" s="32">
        <v>130</v>
      </c>
      <c r="AD28" s="32">
        <v>60</v>
      </c>
      <c r="AE28" s="32">
        <v>60</v>
      </c>
      <c r="AF28" s="32">
        <v>76</v>
      </c>
      <c r="AG28" s="32">
        <v>52.000000000000007</v>
      </c>
      <c r="AH28" s="32">
        <v>52.000000000000007</v>
      </c>
      <c r="AI28" s="32">
        <v>53</v>
      </c>
      <c r="AJ28" s="32">
        <v>48</v>
      </c>
      <c r="AK28" s="32">
        <v>52.000000000000007</v>
      </c>
      <c r="AL28" s="32">
        <v>39</v>
      </c>
      <c r="AM28" s="32">
        <v>63.000000000000007</v>
      </c>
      <c r="AN28" s="32">
        <v>62.000000000000007</v>
      </c>
      <c r="AO28" s="32">
        <v>47</v>
      </c>
      <c r="AP28" s="32">
        <v>51</v>
      </c>
      <c r="AQ28" s="32">
        <v>32</v>
      </c>
      <c r="AR28" s="32">
        <v>59</v>
      </c>
      <c r="AS28" s="32">
        <v>66</v>
      </c>
      <c r="AT28" s="32">
        <v>57</v>
      </c>
      <c r="AU28" s="32">
        <v>132</v>
      </c>
      <c r="AV28" s="32">
        <v>58.000000000000007</v>
      </c>
      <c r="AW28" s="32">
        <v>51</v>
      </c>
      <c r="AX28" s="32">
        <v>97</v>
      </c>
      <c r="AY28" s="32">
        <v>66</v>
      </c>
      <c r="AZ28" s="32">
        <v>103.00000000000001</v>
      </c>
    </row>
    <row r="29" spans="1:52">
      <c r="A29" s="31">
        <v>27</v>
      </c>
      <c r="B29" s="32">
        <v>113</v>
      </c>
      <c r="C29" s="32">
        <v>136</v>
      </c>
      <c r="D29" s="32">
        <v>118</v>
      </c>
      <c r="E29" s="32">
        <v>116.00000000000001</v>
      </c>
      <c r="F29" s="32">
        <v>112</v>
      </c>
      <c r="G29" s="32">
        <v>119</v>
      </c>
      <c r="H29" s="32">
        <v>113</v>
      </c>
      <c r="I29" s="32">
        <v>117</v>
      </c>
      <c r="J29" s="32">
        <v>113</v>
      </c>
      <c r="K29" s="32">
        <v>120</v>
      </c>
      <c r="L29" s="32">
        <v>121.99999999999999</v>
      </c>
      <c r="M29" s="32">
        <v>119</v>
      </c>
      <c r="N29" s="32">
        <v>137</v>
      </c>
      <c r="O29" s="32">
        <v>117</v>
      </c>
      <c r="P29" s="32">
        <v>120</v>
      </c>
      <c r="Q29" s="32">
        <v>122.99999999999999</v>
      </c>
      <c r="R29" s="32">
        <v>120</v>
      </c>
      <c r="S29" s="32">
        <v>135</v>
      </c>
      <c r="T29" s="32">
        <v>114</v>
      </c>
      <c r="U29" s="32">
        <v>140</v>
      </c>
      <c r="V29" s="32">
        <v>120</v>
      </c>
      <c r="W29" s="32">
        <v>134</v>
      </c>
      <c r="X29" s="32">
        <v>116.00000000000001</v>
      </c>
      <c r="Y29" s="32">
        <v>106</v>
      </c>
      <c r="Z29" s="32">
        <v>133</v>
      </c>
      <c r="AA29" s="32">
        <v>139</v>
      </c>
      <c r="AB29" s="32">
        <v>128</v>
      </c>
      <c r="AC29" s="32">
        <v>9999</v>
      </c>
      <c r="AD29" s="32">
        <v>147.00000000000003</v>
      </c>
      <c r="AE29" s="32">
        <v>128</v>
      </c>
      <c r="AF29" s="32">
        <v>171</v>
      </c>
      <c r="AG29" s="32">
        <v>120</v>
      </c>
      <c r="AH29" s="32">
        <v>120</v>
      </c>
      <c r="AI29" s="32">
        <v>114.99999999999999</v>
      </c>
      <c r="AJ29" s="32">
        <v>116.00000000000001</v>
      </c>
      <c r="AK29" s="32">
        <v>120</v>
      </c>
      <c r="AL29" s="32">
        <v>99.999999999999986</v>
      </c>
      <c r="AM29" s="32">
        <v>132</v>
      </c>
      <c r="AN29" s="32">
        <v>131</v>
      </c>
      <c r="AO29" s="32">
        <v>114.99999999999999</v>
      </c>
      <c r="AP29" s="32">
        <v>120</v>
      </c>
      <c r="AQ29" s="32">
        <v>103.00000000000001</v>
      </c>
      <c r="AR29" s="32">
        <v>127.00000000000001</v>
      </c>
      <c r="AS29" s="32">
        <v>134</v>
      </c>
      <c r="AT29" s="32">
        <v>95</v>
      </c>
      <c r="AU29" s="32">
        <v>1</v>
      </c>
      <c r="AV29" s="32">
        <v>125.00000000000001</v>
      </c>
      <c r="AW29" s="32">
        <v>119</v>
      </c>
      <c r="AX29" s="32">
        <v>164</v>
      </c>
      <c r="AY29" s="32">
        <v>147.00000000000003</v>
      </c>
      <c r="AZ29" s="32">
        <v>170.00000000000003</v>
      </c>
    </row>
    <row r="30" spans="1:52">
      <c r="A30" s="31">
        <v>28</v>
      </c>
      <c r="B30" s="32">
        <v>35</v>
      </c>
      <c r="C30" s="32">
        <v>57</v>
      </c>
      <c r="D30" s="32">
        <v>41</v>
      </c>
      <c r="E30" s="32">
        <v>41</v>
      </c>
      <c r="F30" s="32">
        <v>44</v>
      </c>
      <c r="G30" s="32">
        <v>38</v>
      </c>
      <c r="H30" s="32">
        <v>40</v>
      </c>
      <c r="I30" s="32">
        <v>41.999999999999993</v>
      </c>
      <c r="J30" s="32">
        <v>44</v>
      </c>
      <c r="K30" s="32">
        <v>41</v>
      </c>
      <c r="L30" s="32">
        <v>40</v>
      </c>
      <c r="M30" s="32">
        <v>40</v>
      </c>
      <c r="N30" s="32">
        <v>39</v>
      </c>
      <c r="O30" s="32">
        <v>36</v>
      </c>
      <c r="P30" s="32">
        <v>33</v>
      </c>
      <c r="Q30" s="32">
        <v>45</v>
      </c>
      <c r="R30" s="32">
        <v>43</v>
      </c>
      <c r="S30" s="32">
        <v>40</v>
      </c>
      <c r="T30" s="32">
        <v>36</v>
      </c>
      <c r="U30" s="32">
        <v>17</v>
      </c>
      <c r="V30" s="32">
        <v>33</v>
      </c>
      <c r="W30" s="32">
        <v>34</v>
      </c>
      <c r="X30" s="32">
        <v>38</v>
      </c>
      <c r="Y30" s="32">
        <v>52.000000000000007</v>
      </c>
      <c r="Z30" s="32">
        <v>17</v>
      </c>
      <c r="AA30" s="32">
        <v>16</v>
      </c>
      <c r="AB30" s="32">
        <v>60</v>
      </c>
      <c r="AC30" s="32">
        <v>148</v>
      </c>
      <c r="AD30" s="32">
        <v>9999</v>
      </c>
      <c r="AE30" s="32">
        <v>43</v>
      </c>
      <c r="AF30" s="32">
        <v>31.000000000000004</v>
      </c>
      <c r="AG30" s="32">
        <v>41</v>
      </c>
      <c r="AH30" s="32">
        <v>39</v>
      </c>
      <c r="AI30" s="32">
        <v>41.999999999999993</v>
      </c>
      <c r="AJ30" s="32">
        <v>41.999999999999993</v>
      </c>
      <c r="AK30" s="32">
        <v>48.999999999999993</v>
      </c>
      <c r="AL30" s="32">
        <v>58.000000000000007</v>
      </c>
      <c r="AM30" s="32">
        <v>53</v>
      </c>
      <c r="AN30" s="32">
        <v>54</v>
      </c>
      <c r="AO30" s="32">
        <v>35</v>
      </c>
      <c r="AP30" s="32">
        <v>33</v>
      </c>
      <c r="AQ30" s="32">
        <v>50</v>
      </c>
      <c r="AR30" s="32">
        <v>31.000000000000004</v>
      </c>
      <c r="AS30" s="32">
        <v>56</v>
      </c>
      <c r="AT30" s="32">
        <v>74</v>
      </c>
      <c r="AU30" s="32">
        <v>150</v>
      </c>
      <c r="AV30" s="32">
        <v>47</v>
      </c>
      <c r="AW30" s="32">
        <v>41</v>
      </c>
      <c r="AX30" s="32">
        <v>52.000000000000007</v>
      </c>
      <c r="AY30" s="32">
        <v>12</v>
      </c>
      <c r="AZ30" s="32">
        <v>83</v>
      </c>
    </row>
    <row r="31" spans="1:52">
      <c r="A31" s="31">
        <v>29</v>
      </c>
      <c r="B31" s="32">
        <v>23.000000000000004</v>
      </c>
      <c r="C31" s="32">
        <v>45</v>
      </c>
      <c r="D31" s="32">
        <v>26.000000000000004</v>
      </c>
      <c r="E31" s="32">
        <v>26.000000000000004</v>
      </c>
      <c r="F31" s="32">
        <v>31.000000000000004</v>
      </c>
      <c r="G31" s="32">
        <v>23.000000000000004</v>
      </c>
      <c r="H31" s="32">
        <v>26.000000000000004</v>
      </c>
      <c r="I31" s="32">
        <v>40</v>
      </c>
      <c r="J31" s="32">
        <v>26.000000000000004</v>
      </c>
      <c r="K31" s="32">
        <v>20.999999999999996</v>
      </c>
      <c r="L31" s="32">
        <v>18</v>
      </c>
      <c r="M31" s="32">
        <v>25</v>
      </c>
      <c r="N31" s="32">
        <v>24</v>
      </c>
      <c r="O31" s="32">
        <v>22</v>
      </c>
      <c r="P31" s="32">
        <v>24</v>
      </c>
      <c r="Q31" s="32">
        <v>14</v>
      </c>
      <c r="R31" s="32">
        <v>22</v>
      </c>
      <c r="S31" s="32">
        <v>26.000000000000004</v>
      </c>
      <c r="T31" s="32">
        <v>22</v>
      </c>
      <c r="U31" s="32">
        <v>36</v>
      </c>
      <c r="V31" s="32">
        <v>24</v>
      </c>
      <c r="W31" s="32">
        <v>24</v>
      </c>
      <c r="X31" s="32">
        <v>39</v>
      </c>
      <c r="Y31" s="32">
        <v>33</v>
      </c>
      <c r="Z31" s="32">
        <v>30</v>
      </c>
      <c r="AA31" s="32">
        <v>36</v>
      </c>
      <c r="AB31" s="32">
        <v>59</v>
      </c>
      <c r="AC31" s="32">
        <v>129</v>
      </c>
      <c r="AD31" s="32">
        <v>44</v>
      </c>
      <c r="AE31" s="32">
        <v>9999</v>
      </c>
      <c r="AF31" s="32">
        <v>68</v>
      </c>
      <c r="AG31" s="32">
        <v>20</v>
      </c>
      <c r="AH31" s="32">
        <v>22</v>
      </c>
      <c r="AI31" s="32">
        <v>26.000000000000004</v>
      </c>
      <c r="AJ31" s="32">
        <v>24</v>
      </c>
      <c r="AK31" s="32">
        <v>20</v>
      </c>
      <c r="AL31" s="32">
        <v>39</v>
      </c>
      <c r="AM31" s="32">
        <v>22</v>
      </c>
      <c r="AN31" s="32">
        <v>23.000000000000004</v>
      </c>
      <c r="AO31" s="32">
        <v>20.999999999999996</v>
      </c>
      <c r="AP31" s="32">
        <v>20.999999999999996</v>
      </c>
      <c r="AQ31" s="32">
        <v>31.000000000000004</v>
      </c>
      <c r="AR31" s="32">
        <v>26.000000000000004</v>
      </c>
      <c r="AS31" s="32">
        <v>44</v>
      </c>
      <c r="AT31" s="32">
        <v>54.999999999999993</v>
      </c>
      <c r="AU31" s="32">
        <v>130</v>
      </c>
      <c r="AV31" s="32">
        <v>35</v>
      </c>
      <c r="AW31" s="32">
        <v>29.000000000000004</v>
      </c>
      <c r="AX31" s="32">
        <v>54</v>
      </c>
      <c r="AY31" s="32">
        <v>50</v>
      </c>
      <c r="AZ31" s="32">
        <v>52.000000000000007</v>
      </c>
    </row>
    <row r="32" spans="1:52">
      <c r="A32" s="31">
        <v>30</v>
      </c>
      <c r="B32" s="32">
        <v>59</v>
      </c>
      <c r="C32" s="32">
        <v>82</v>
      </c>
      <c r="D32" s="32">
        <v>65</v>
      </c>
      <c r="E32" s="32">
        <v>65</v>
      </c>
      <c r="F32" s="32">
        <v>68</v>
      </c>
      <c r="G32" s="32">
        <v>62.000000000000007</v>
      </c>
      <c r="H32" s="32">
        <v>64</v>
      </c>
      <c r="I32" s="32">
        <v>66</v>
      </c>
      <c r="J32" s="32">
        <v>68</v>
      </c>
      <c r="K32" s="32">
        <v>65</v>
      </c>
      <c r="L32" s="32">
        <v>64</v>
      </c>
      <c r="M32" s="32">
        <v>74</v>
      </c>
      <c r="N32" s="32">
        <v>64</v>
      </c>
      <c r="O32" s="32">
        <v>60</v>
      </c>
      <c r="P32" s="32">
        <v>57</v>
      </c>
      <c r="Q32" s="32">
        <v>69</v>
      </c>
      <c r="R32" s="32">
        <v>67</v>
      </c>
      <c r="S32" s="32">
        <v>64</v>
      </c>
      <c r="T32" s="32">
        <v>67</v>
      </c>
      <c r="U32" s="32">
        <v>33</v>
      </c>
      <c r="V32" s="32">
        <v>57</v>
      </c>
      <c r="W32" s="32">
        <v>58.000000000000007</v>
      </c>
      <c r="X32" s="32">
        <v>62.000000000000007</v>
      </c>
      <c r="Y32" s="32">
        <v>76</v>
      </c>
      <c r="Z32" s="32">
        <v>41</v>
      </c>
      <c r="AA32" s="32">
        <v>35</v>
      </c>
      <c r="AB32" s="32">
        <v>75</v>
      </c>
      <c r="AC32" s="32">
        <v>172</v>
      </c>
      <c r="AD32" s="32">
        <v>30</v>
      </c>
      <c r="AE32" s="32">
        <v>67</v>
      </c>
      <c r="AF32" s="32">
        <v>9999</v>
      </c>
      <c r="AG32" s="32">
        <v>65</v>
      </c>
      <c r="AH32" s="32">
        <v>63.000000000000007</v>
      </c>
      <c r="AI32" s="32">
        <v>67</v>
      </c>
      <c r="AJ32" s="32">
        <v>66</v>
      </c>
      <c r="AK32" s="32">
        <v>65</v>
      </c>
      <c r="AL32" s="32">
        <v>82</v>
      </c>
      <c r="AM32" s="32">
        <v>78</v>
      </c>
      <c r="AN32" s="32">
        <v>79</v>
      </c>
      <c r="AO32" s="32">
        <v>59</v>
      </c>
      <c r="AP32" s="32">
        <v>58.000000000000007</v>
      </c>
      <c r="AQ32" s="32">
        <v>83.999999999999986</v>
      </c>
      <c r="AR32" s="32">
        <v>54.999999999999993</v>
      </c>
      <c r="AS32" s="32">
        <v>80</v>
      </c>
      <c r="AT32" s="32">
        <v>97.999999999999986</v>
      </c>
      <c r="AU32" s="32">
        <v>174</v>
      </c>
      <c r="AV32" s="32">
        <v>71</v>
      </c>
      <c r="AW32" s="32">
        <v>65</v>
      </c>
      <c r="AX32" s="32">
        <v>76</v>
      </c>
      <c r="AY32" s="32">
        <v>36</v>
      </c>
      <c r="AZ32" s="32">
        <v>107</v>
      </c>
    </row>
    <row r="33" spans="1:52">
      <c r="A33" s="31">
        <v>31</v>
      </c>
      <c r="B33" s="32">
        <v>13.000000000000002</v>
      </c>
      <c r="C33" s="32">
        <v>36</v>
      </c>
      <c r="D33" s="32">
        <v>6</v>
      </c>
      <c r="E33" s="32">
        <v>7</v>
      </c>
      <c r="F33" s="32">
        <v>17</v>
      </c>
      <c r="G33" s="32">
        <v>6</v>
      </c>
      <c r="H33" s="32">
        <v>10</v>
      </c>
      <c r="I33" s="32">
        <v>9</v>
      </c>
      <c r="J33" s="32">
        <v>6</v>
      </c>
      <c r="K33" s="32">
        <v>1</v>
      </c>
      <c r="L33" s="32">
        <v>6</v>
      </c>
      <c r="M33" s="32">
        <v>5</v>
      </c>
      <c r="N33" s="32">
        <v>6</v>
      </c>
      <c r="O33" s="32">
        <v>14</v>
      </c>
      <c r="P33" s="32">
        <v>16</v>
      </c>
      <c r="Q33" s="32">
        <v>20</v>
      </c>
      <c r="R33" s="32">
        <v>4</v>
      </c>
      <c r="S33" s="32">
        <v>7</v>
      </c>
      <c r="T33" s="32">
        <v>10</v>
      </c>
      <c r="U33" s="32">
        <v>36</v>
      </c>
      <c r="V33" s="32">
        <v>16</v>
      </c>
      <c r="W33" s="32">
        <v>25</v>
      </c>
      <c r="X33" s="32">
        <v>17</v>
      </c>
      <c r="Y33" s="32">
        <v>23.000000000000004</v>
      </c>
      <c r="Z33" s="32">
        <v>29.000000000000004</v>
      </c>
      <c r="AA33" s="32">
        <v>35</v>
      </c>
      <c r="AB33" s="32">
        <v>48</v>
      </c>
      <c r="AC33" s="32">
        <v>117</v>
      </c>
      <c r="AD33" s="32">
        <v>43</v>
      </c>
      <c r="AE33" s="32">
        <v>23.000000000000004</v>
      </c>
      <c r="AF33" s="32">
        <v>67</v>
      </c>
      <c r="AG33" s="32">
        <v>9999</v>
      </c>
      <c r="AH33" s="32">
        <v>2</v>
      </c>
      <c r="AI33" s="32">
        <v>6</v>
      </c>
      <c r="AJ33" s="32">
        <v>5</v>
      </c>
      <c r="AK33" s="32">
        <v>3</v>
      </c>
      <c r="AL33" s="32">
        <v>28</v>
      </c>
      <c r="AM33" s="32">
        <v>28</v>
      </c>
      <c r="AN33" s="32">
        <v>29.000000000000004</v>
      </c>
      <c r="AO33" s="32">
        <v>12</v>
      </c>
      <c r="AP33" s="32">
        <v>10</v>
      </c>
      <c r="AQ33" s="32">
        <v>20</v>
      </c>
      <c r="AR33" s="32">
        <v>26.000000000000004</v>
      </c>
      <c r="AS33" s="32">
        <v>34</v>
      </c>
      <c r="AT33" s="32">
        <v>43</v>
      </c>
      <c r="AU33" s="32">
        <v>118</v>
      </c>
      <c r="AV33" s="32">
        <v>26.000000000000004</v>
      </c>
      <c r="AW33" s="32">
        <v>19</v>
      </c>
      <c r="AX33" s="32">
        <v>54.999999999999993</v>
      </c>
      <c r="AY33" s="32">
        <v>43</v>
      </c>
      <c r="AZ33" s="32">
        <v>60.999999999999993</v>
      </c>
    </row>
    <row r="34" spans="1:52">
      <c r="A34" s="31">
        <v>32</v>
      </c>
      <c r="B34" s="32">
        <v>12</v>
      </c>
      <c r="C34" s="32">
        <v>34</v>
      </c>
      <c r="D34" s="32">
        <v>4</v>
      </c>
      <c r="E34" s="32">
        <v>5</v>
      </c>
      <c r="F34" s="32">
        <v>16</v>
      </c>
      <c r="G34" s="32">
        <v>5</v>
      </c>
      <c r="H34" s="32">
        <v>9</v>
      </c>
      <c r="I34" s="32">
        <v>7</v>
      </c>
      <c r="J34" s="32">
        <v>5</v>
      </c>
      <c r="K34" s="32">
        <v>5</v>
      </c>
      <c r="L34" s="32">
        <v>8</v>
      </c>
      <c r="M34" s="32">
        <v>4</v>
      </c>
      <c r="N34" s="32">
        <v>4</v>
      </c>
      <c r="O34" s="32">
        <v>12</v>
      </c>
      <c r="P34" s="32">
        <v>15</v>
      </c>
      <c r="Q34" s="32">
        <v>23.000000000000004</v>
      </c>
      <c r="R34" s="32">
        <v>5</v>
      </c>
      <c r="S34" s="32">
        <v>6</v>
      </c>
      <c r="T34" s="32">
        <v>9</v>
      </c>
      <c r="U34" s="32">
        <v>34</v>
      </c>
      <c r="V34" s="32">
        <v>15</v>
      </c>
      <c r="W34" s="32">
        <v>28</v>
      </c>
      <c r="X34" s="32">
        <v>15</v>
      </c>
      <c r="Y34" s="32">
        <v>20.999999999999996</v>
      </c>
      <c r="Z34" s="32">
        <v>28</v>
      </c>
      <c r="AA34" s="32">
        <v>34</v>
      </c>
      <c r="AB34" s="32">
        <v>46.000000000000007</v>
      </c>
      <c r="AC34" s="32">
        <v>114.99999999999999</v>
      </c>
      <c r="AD34" s="32">
        <v>41</v>
      </c>
      <c r="AE34" s="32">
        <v>26.000000000000004</v>
      </c>
      <c r="AF34" s="32">
        <v>66</v>
      </c>
      <c r="AG34" s="32">
        <v>6</v>
      </c>
      <c r="AH34" s="32">
        <v>9999</v>
      </c>
      <c r="AI34" s="32">
        <v>4</v>
      </c>
      <c r="AJ34" s="32">
        <v>3</v>
      </c>
      <c r="AK34" s="32">
        <v>6</v>
      </c>
      <c r="AL34" s="32">
        <v>26.000000000000004</v>
      </c>
      <c r="AM34" s="32">
        <v>32</v>
      </c>
      <c r="AN34" s="32">
        <v>32</v>
      </c>
      <c r="AO34" s="32">
        <v>10</v>
      </c>
      <c r="AP34" s="32">
        <v>9</v>
      </c>
      <c r="AQ34" s="32">
        <v>19</v>
      </c>
      <c r="AR34" s="32">
        <v>25</v>
      </c>
      <c r="AS34" s="32">
        <v>33</v>
      </c>
      <c r="AT34" s="32">
        <v>41.999999999999993</v>
      </c>
      <c r="AU34" s="32">
        <v>117</v>
      </c>
      <c r="AV34" s="32">
        <v>24</v>
      </c>
      <c r="AW34" s="32">
        <v>17</v>
      </c>
      <c r="AX34" s="32">
        <v>59</v>
      </c>
      <c r="AY34" s="32">
        <v>41.999999999999993</v>
      </c>
      <c r="AZ34" s="32">
        <v>64</v>
      </c>
    </row>
    <row r="35" spans="1:52">
      <c r="A35" s="31">
        <v>33</v>
      </c>
      <c r="B35" s="32">
        <v>11</v>
      </c>
      <c r="C35" s="32">
        <v>33</v>
      </c>
      <c r="D35" s="32">
        <v>4</v>
      </c>
      <c r="E35" s="32">
        <v>5</v>
      </c>
      <c r="F35" s="32">
        <v>18</v>
      </c>
      <c r="G35" s="32">
        <v>6</v>
      </c>
      <c r="H35" s="32">
        <v>8</v>
      </c>
      <c r="I35" s="32">
        <v>6</v>
      </c>
      <c r="J35" s="32">
        <v>4</v>
      </c>
      <c r="K35" s="32">
        <v>7</v>
      </c>
      <c r="L35" s="32">
        <v>10</v>
      </c>
      <c r="M35" s="32">
        <v>4</v>
      </c>
      <c r="N35" s="32">
        <v>5</v>
      </c>
      <c r="O35" s="32">
        <v>11</v>
      </c>
      <c r="P35" s="32">
        <v>15</v>
      </c>
      <c r="Q35" s="32">
        <v>23.000000000000004</v>
      </c>
      <c r="R35" s="32">
        <v>7</v>
      </c>
      <c r="S35" s="32">
        <v>5</v>
      </c>
      <c r="T35" s="32">
        <v>8</v>
      </c>
      <c r="U35" s="32">
        <v>35</v>
      </c>
      <c r="V35" s="32">
        <v>15</v>
      </c>
      <c r="W35" s="32">
        <v>29.000000000000004</v>
      </c>
      <c r="X35" s="32">
        <v>14</v>
      </c>
      <c r="Y35" s="32">
        <v>20</v>
      </c>
      <c r="Z35" s="32">
        <v>28</v>
      </c>
      <c r="AA35" s="32">
        <v>44</v>
      </c>
      <c r="AB35" s="32">
        <v>46.000000000000007</v>
      </c>
      <c r="AC35" s="32">
        <v>125.00000000000001</v>
      </c>
      <c r="AD35" s="32">
        <v>41.999999999999993</v>
      </c>
      <c r="AE35" s="32">
        <v>27</v>
      </c>
      <c r="AF35" s="32">
        <v>66</v>
      </c>
      <c r="AG35" s="32">
        <v>7</v>
      </c>
      <c r="AH35" s="32">
        <v>5</v>
      </c>
      <c r="AI35" s="32">
        <v>9999</v>
      </c>
      <c r="AJ35" s="32">
        <v>2</v>
      </c>
      <c r="AK35" s="32">
        <v>7</v>
      </c>
      <c r="AL35" s="32">
        <v>25</v>
      </c>
      <c r="AM35" s="32">
        <v>32</v>
      </c>
      <c r="AN35" s="32">
        <v>31.000000000000004</v>
      </c>
      <c r="AO35" s="32">
        <v>9</v>
      </c>
      <c r="AP35" s="32">
        <v>10</v>
      </c>
      <c r="AQ35" s="32">
        <v>18</v>
      </c>
      <c r="AR35" s="32">
        <v>25</v>
      </c>
      <c r="AS35" s="32">
        <v>32</v>
      </c>
      <c r="AT35" s="32">
        <v>41</v>
      </c>
      <c r="AU35" s="32">
        <v>116.00000000000001</v>
      </c>
      <c r="AV35" s="32">
        <v>28</v>
      </c>
      <c r="AW35" s="32">
        <v>16</v>
      </c>
      <c r="AX35" s="32">
        <v>59</v>
      </c>
      <c r="AY35" s="32">
        <v>41.999999999999993</v>
      </c>
      <c r="AZ35" s="32">
        <v>65</v>
      </c>
    </row>
    <row r="36" spans="1:52">
      <c r="A36" s="31">
        <v>34</v>
      </c>
      <c r="B36" s="32">
        <v>12</v>
      </c>
      <c r="C36" s="32">
        <v>34</v>
      </c>
      <c r="D36" s="32">
        <v>5</v>
      </c>
      <c r="E36" s="32">
        <v>6</v>
      </c>
      <c r="F36" s="32">
        <v>16</v>
      </c>
      <c r="G36" s="32">
        <v>5</v>
      </c>
      <c r="H36" s="32">
        <v>9</v>
      </c>
      <c r="I36" s="32">
        <v>8</v>
      </c>
      <c r="J36" s="32">
        <v>5</v>
      </c>
      <c r="K36" s="32">
        <v>6</v>
      </c>
      <c r="L36" s="32">
        <v>11</v>
      </c>
      <c r="M36" s="32">
        <v>4</v>
      </c>
      <c r="N36" s="32">
        <v>5</v>
      </c>
      <c r="O36" s="32">
        <v>12</v>
      </c>
      <c r="P36" s="32">
        <v>15</v>
      </c>
      <c r="Q36" s="32">
        <v>24</v>
      </c>
      <c r="R36" s="32">
        <v>6</v>
      </c>
      <c r="S36" s="32">
        <v>6</v>
      </c>
      <c r="T36" s="32">
        <v>9</v>
      </c>
      <c r="U36" s="32">
        <v>43</v>
      </c>
      <c r="V36" s="32">
        <v>15</v>
      </c>
      <c r="W36" s="32">
        <v>28</v>
      </c>
      <c r="X36" s="32">
        <v>15</v>
      </c>
      <c r="Y36" s="32">
        <v>20.999999999999996</v>
      </c>
      <c r="Z36" s="32">
        <v>28</v>
      </c>
      <c r="AA36" s="32">
        <v>34</v>
      </c>
      <c r="AB36" s="32">
        <v>47</v>
      </c>
      <c r="AC36" s="32">
        <v>114.99999999999999</v>
      </c>
      <c r="AD36" s="32">
        <v>41.999999999999993</v>
      </c>
      <c r="AE36" s="32">
        <v>27</v>
      </c>
      <c r="AF36" s="32">
        <v>66</v>
      </c>
      <c r="AG36" s="32">
        <v>7</v>
      </c>
      <c r="AH36" s="32">
        <v>4</v>
      </c>
      <c r="AI36" s="32">
        <v>4</v>
      </c>
      <c r="AJ36" s="32">
        <v>9999</v>
      </c>
      <c r="AK36" s="32">
        <v>7</v>
      </c>
      <c r="AL36" s="32">
        <v>26.000000000000004</v>
      </c>
      <c r="AM36" s="32">
        <v>32</v>
      </c>
      <c r="AN36" s="32">
        <v>32</v>
      </c>
      <c r="AO36" s="32">
        <v>10</v>
      </c>
      <c r="AP36" s="32">
        <v>9</v>
      </c>
      <c r="AQ36" s="32">
        <v>19</v>
      </c>
      <c r="AR36" s="32">
        <v>29.000000000000004</v>
      </c>
      <c r="AS36" s="32">
        <v>33</v>
      </c>
      <c r="AT36" s="32">
        <v>41.999999999999993</v>
      </c>
      <c r="AU36" s="32">
        <v>117</v>
      </c>
      <c r="AV36" s="32">
        <v>24</v>
      </c>
      <c r="AW36" s="32">
        <v>18</v>
      </c>
      <c r="AX36" s="32">
        <v>60</v>
      </c>
      <c r="AY36" s="32">
        <v>41.999999999999993</v>
      </c>
      <c r="AZ36" s="32">
        <v>65</v>
      </c>
    </row>
    <row r="37" spans="1:52">
      <c r="A37" s="31">
        <v>35</v>
      </c>
      <c r="B37" s="32">
        <v>13.000000000000002</v>
      </c>
      <c r="C37" s="32">
        <v>36</v>
      </c>
      <c r="D37" s="32">
        <v>6</v>
      </c>
      <c r="E37" s="32">
        <v>7</v>
      </c>
      <c r="F37" s="32">
        <v>17</v>
      </c>
      <c r="G37" s="32">
        <v>7</v>
      </c>
      <c r="H37" s="32">
        <v>10</v>
      </c>
      <c r="I37" s="32">
        <v>9</v>
      </c>
      <c r="J37" s="32">
        <v>6</v>
      </c>
      <c r="K37" s="32">
        <v>1</v>
      </c>
      <c r="L37" s="32">
        <v>6</v>
      </c>
      <c r="M37" s="32">
        <v>5</v>
      </c>
      <c r="N37" s="32">
        <v>6</v>
      </c>
      <c r="O37" s="32">
        <v>14</v>
      </c>
      <c r="P37" s="32">
        <v>16</v>
      </c>
      <c r="Q37" s="32">
        <v>20</v>
      </c>
      <c r="R37" s="32">
        <v>4</v>
      </c>
      <c r="S37" s="32">
        <v>7</v>
      </c>
      <c r="T37" s="32">
        <v>10</v>
      </c>
      <c r="U37" s="32">
        <v>36</v>
      </c>
      <c r="V37" s="32">
        <v>16</v>
      </c>
      <c r="W37" s="32">
        <v>25</v>
      </c>
      <c r="X37" s="32">
        <v>17</v>
      </c>
      <c r="Y37" s="32">
        <v>23.000000000000004</v>
      </c>
      <c r="Z37" s="32">
        <v>29.000000000000004</v>
      </c>
      <c r="AA37" s="32">
        <v>36</v>
      </c>
      <c r="AB37" s="32">
        <v>48</v>
      </c>
      <c r="AC37" s="32">
        <v>117</v>
      </c>
      <c r="AD37" s="32">
        <v>43</v>
      </c>
      <c r="AE37" s="32">
        <v>23.000000000000004</v>
      </c>
      <c r="AF37" s="32">
        <v>67</v>
      </c>
      <c r="AG37" s="32">
        <v>0</v>
      </c>
      <c r="AH37" s="32">
        <v>2</v>
      </c>
      <c r="AI37" s="32">
        <v>6</v>
      </c>
      <c r="AJ37" s="32">
        <v>4</v>
      </c>
      <c r="AK37" s="32">
        <v>9999</v>
      </c>
      <c r="AL37" s="32">
        <v>28</v>
      </c>
      <c r="AM37" s="32">
        <v>28</v>
      </c>
      <c r="AN37" s="32">
        <v>30</v>
      </c>
      <c r="AO37" s="32">
        <v>17</v>
      </c>
      <c r="AP37" s="32">
        <v>10</v>
      </c>
      <c r="AQ37" s="32">
        <v>20</v>
      </c>
      <c r="AR37" s="32">
        <v>26.000000000000004</v>
      </c>
      <c r="AS37" s="32">
        <v>34</v>
      </c>
      <c r="AT37" s="32">
        <v>44</v>
      </c>
      <c r="AU37" s="32">
        <v>118</v>
      </c>
      <c r="AV37" s="32">
        <v>26.000000000000004</v>
      </c>
      <c r="AW37" s="32">
        <v>19</v>
      </c>
      <c r="AX37" s="32">
        <v>54.999999999999993</v>
      </c>
      <c r="AY37" s="32">
        <v>43</v>
      </c>
      <c r="AZ37" s="32">
        <v>60.999999999999993</v>
      </c>
    </row>
    <row r="38" spans="1:52">
      <c r="A38" s="31">
        <v>36</v>
      </c>
      <c r="B38" s="32">
        <v>32</v>
      </c>
      <c r="C38" s="32">
        <v>47</v>
      </c>
      <c r="D38" s="32">
        <v>30</v>
      </c>
      <c r="E38" s="32">
        <v>28</v>
      </c>
      <c r="F38" s="32">
        <v>24</v>
      </c>
      <c r="G38" s="32">
        <v>31.000000000000004</v>
      </c>
      <c r="H38" s="32">
        <v>25</v>
      </c>
      <c r="I38" s="32">
        <v>28</v>
      </c>
      <c r="J38" s="32">
        <v>25</v>
      </c>
      <c r="K38" s="32">
        <v>32</v>
      </c>
      <c r="L38" s="32">
        <v>33</v>
      </c>
      <c r="M38" s="32">
        <v>31.000000000000004</v>
      </c>
      <c r="N38" s="32">
        <v>31.000000000000004</v>
      </c>
      <c r="O38" s="32">
        <v>29.000000000000004</v>
      </c>
      <c r="P38" s="32">
        <v>31.000000000000004</v>
      </c>
      <c r="Q38" s="32">
        <v>35</v>
      </c>
      <c r="R38" s="32">
        <v>32</v>
      </c>
      <c r="S38" s="32">
        <v>30</v>
      </c>
      <c r="T38" s="32">
        <v>26.000000000000004</v>
      </c>
      <c r="U38" s="32">
        <v>51</v>
      </c>
      <c r="V38" s="32">
        <v>31.000000000000004</v>
      </c>
      <c r="W38" s="32">
        <v>46.000000000000007</v>
      </c>
      <c r="X38" s="32">
        <v>28</v>
      </c>
      <c r="Y38" s="32">
        <v>17</v>
      </c>
      <c r="Z38" s="32">
        <v>45</v>
      </c>
      <c r="AA38" s="32">
        <v>51</v>
      </c>
      <c r="AB38" s="32">
        <v>39</v>
      </c>
      <c r="AC38" s="32">
        <v>103.00000000000001</v>
      </c>
      <c r="AD38" s="32">
        <v>58.000000000000007</v>
      </c>
      <c r="AE38" s="32">
        <v>40</v>
      </c>
      <c r="AF38" s="32">
        <v>83</v>
      </c>
      <c r="AG38" s="32">
        <v>32</v>
      </c>
      <c r="AH38" s="32">
        <v>32</v>
      </c>
      <c r="AI38" s="32">
        <v>27</v>
      </c>
      <c r="AJ38" s="32">
        <v>28</v>
      </c>
      <c r="AK38" s="32">
        <v>32</v>
      </c>
      <c r="AL38" s="32">
        <v>9999</v>
      </c>
      <c r="AM38" s="32">
        <v>44</v>
      </c>
      <c r="AN38" s="32">
        <v>41.999999999999993</v>
      </c>
      <c r="AO38" s="32">
        <v>26.000000000000004</v>
      </c>
      <c r="AP38" s="32">
        <v>32</v>
      </c>
      <c r="AQ38" s="32">
        <v>15</v>
      </c>
      <c r="AR38" s="32">
        <v>38</v>
      </c>
      <c r="AS38" s="32">
        <v>46.000000000000007</v>
      </c>
      <c r="AT38" s="32">
        <v>29.000000000000004</v>
      </c>
      <c r="AU38" s="32">
        <v>104.00000000000001</v>
      </c>
      <c r="AV38" s="32">
        <v>37</v>
      </c>
      <c r="AW38" s="32">
        <v>30</v>
      </c>
      <c r="AX38" s="32">
        <v>76</v>
      </c>
      <c r="AY38" s="32">
        <v>59</v>
      </c>
      <c r="AZ38" s="32">
        <v>82</v>
      </c>
    </row>
    <row r="39" spans="1:52">
      <c r="A39" s="31">
        <v>37</v>
      </c>
      <c r="B39" s="32">
        <v>31.000000000000004</v>
      </c>
      <c r="C39" s="32">
        <v>53</v>
      </c>
      <c r="D39" s="32">
        <v>31.000000000000004</v>
      </c>
      <c r="E39" s="32">
        <v>32</v>
      </c>
      <c r="F39" s="32">
        <v>39</v>
      </c>
      <c r="G39" s="32">
        <v>32</v>
      </c>
      <c r="H39" s="32">
        <v>43</v>
      </c>
      <c r="I39" s="32">
        <v>34</v>
      </c>
      <c r="J39" s="32">
        <v>32</v>
      </c>
      <c r="K39" s="32">
        <v>26.000000000000004</v>
      </c>
      <c r="L39" s="32">
        <v>27</v>
      </c>
      <c r="M39" s="32">
        <v>31.000000000000004</v>
      </c>
      <c r="N39" s="32">
        <v>32</v>
      </c>
      <c r="O39" s="32">
        <v>30</v>
      </c>
      <c r="P39" s="32">
        <v>31.000000000000004</v>
      </c>
      <c r="Q39" s="32">
        <v>9</v>
      </c>
      <c r="R39" s="32">
        <v>27</v>
      </c>
      <c r="S39" s="32">
        <v>33</v>
      </c>
      <c r="T39" s="32">
        <v>30</v>
      </c>
      <c r="U39" s="32">
        <v>47</v>
      </c>
      <c r="V39" s="32">
        <v>31.000000000000004</v>
      </c>
      <c r="W39" s="32">
        <v>34</v>
      </c>
      <c r="X39" s="32">
        <v>34</v>
      </c>
      <c r="Y39" s="32">
        <v>43</v>
      </c>
      <c r="Z39" s="32">
        <v>40</v>
      </c>
      <c r="AA39" s="32">
        <v>46.000000000000007</v>
      </c>
      <c r="AB39" s="32">
        <v>60.999999999999993</v>
      </c>
      <c r="AC39" s="32">
        <v>131</v>
      </c>
      <c r="AD39" s="32">
        <v>54</v>
      </c>
      <c r="AE39" s="32">
        <v>29.000000000000004</v>
      </c>
      <c r="AF39" s="32">
        <v>78</v>
      </c>
      <c r="AG39" s="32">
        <v>26.000000000000004</v>
      </c>
      <c r="AH39" s="32">
        <v>27</v>
      </c>
      <c r="AI39" s="32">
        <v>31.000000000000004</v>
      </c>
      <c r="AJ39" s="32">
        <v>30</v>
      </c>
      <c r="AK39" s="32">
        <v>25</v>
      </c>
      <c r="AL39" s="32">
        <v>41</v>
      </c>
      <c r="AM39" s="32">
        <v>9999</v>
      </c>
      <c r="AN39" s="32">
        <v>15</v>
      </c>
      <c r="AO39" s="32">
        <v>29.000000000000004</v>
      </c>
      <c r="AP39" s="32">
        <v>28</v>
      </c>
      <c r="AQ39" s="32">
        <v>34</v>
      </c>
      <c r="AR39" s="32">
        <v>36</v>
      </c>
      <c r="AS39" s="32">
        <v>52.000000000000007</v>
      </c>
      <c r="AT39" s="32">
        <v>57</v>
      </c>
      <c r="AU39" s="32">
        <v>132</v>
      </c>
      <c r="AV39" s="32">
        <v>43</v>
      </c>
      <c r="AW39" s="32">
        <v>36</v>
      </c>
      <c r="AX39" s="32">
        <v>65</v>
      </c>
      <c r="AY39" s="32">
        <v>54</v>
      </c>
      <c r="AZ39" s="32">
        <v>54</v>
      </c>
    </row>
    <row r="40" spans="1:52">
      <c r="A40" s="31">
        <v>38</v>
      </c>
      <c r="B40" s="32">
        <v>31.000000000000004</v>
      </c>
      <c r="C40" s="32">
        <v>54</v>
      </c>
      <c r="D40" s="32">
        <v>32</v>
      </c>
      <c r="E40" s="32">
        <v>33</v>
      </c>
      <c r="F40" s="32">
        <v>40</v>
      </c>
      <c r="G40" s="32">
        <v>33</v>
      </c>
      <c r="H40" s="32">
        <v>33</v>
      </c>
      <c r="I40" s="32">
        <v>34</v>
      </c>
      <c r="J40" s="32">
        <v>32</v>
      </c>
      <c r="K40" s="32">
        <v>27</v>
      </c>
      <c r="L40" s="32">
        <v>27</v>
      </c>
      <c r="M40" s="32">
        <v>31.000000000000004</v>
      </c>
      <c r="N40" s="32">
        <v>32</v>
      </c>
      <c r="O40" s="32">
        <v>30</v>
      </c>
      <c r="P40" s="32">
        <v>32</v>
      </c>
      <c r="Q40" s="32">
        <v>10</v>
      </c>
      <c r="R40" s="32">
        <v>28</v>
      </c>
      <c r="S40" s="32">
        <v>33</v>
      </c>
      <c r="T40" s="32">
        <v>31.000000000000004</v>
      </c>
      <c r="U40" s="32">
        <v>47</v>
      </c>
      <c r="V40" s="32">
        <v>32</v>
      </c>
      <c r="W40" s="32">
        <v>35</v>
      </c>
      <c r="X40" s="32">
        <v>35</v>
      </c>
      <c r="Y40" s="32">
        <v>36</v>
      </c>
      <c r="Z40" s="32">
        <v>41</v>
      </c>
      <c r="AA40" s="32">
        <v>47</v>
      </c>
      <c r="AB40" s="32">
        <v>59</v>
      </c>
      <c r="AC40" s="32">
        <v>129</v>
      </c>
      <c r="AD40" s="32">
        <v>54</v>
      </c>
      <c r="AE40" s="32">
        <v>24</v>
      </c>
      <c r="AF40" s="32">
        <v>79</v>
      </c>
      <c r="AG40" s="32">
        <v>26.000000000000004</v>
      </c>
      <c r="AH40" s="32">
        <v>28</v>
      </c>
      <c r="AI40" s="32">
        <v>32</v>
      </c>
      <c r="AJ40" s="32">
        <v>31.000000000000004</v>
      </c>
      <c r="AK40" s="32">
        <v>26.000000000000004</v>
      </c>
      <c r="AL40" s="32">
        <v>39</v>
      </c>
      <c r="AM40" s="32">
        <v>15</v>
      </c>
      <c r="AN40" s="32">
        <v>9999</v>
      </c>
      <c r="AO40" s="32">
        <v>30</v>
      </c>
      <c r="AP40" s="32">
        <v>29.000000000000004</v>
      </c>
      <c r="AQ40" s="32">
        <v>33</v>
      </c>
      <c r="AR40" s="32">
        <v>37</v>
      </c>
      <c r="AS40" s="32">
        <v>52.000000000000007</v>
      </c>
      <c r="AT40" s="32">
        <v>54.999999999999993</v>
      </c>
      <c r="AU40" s="32">
        <v>130</v>
      </c>
      <c r="AV40" s="32">
        <v>44</v>
      </c>
      <c r="AW40" s="32">
        <v>37</v>
      </c>
      <c r="AX40" s="32">
        <v>66</v>
      </c>
      <c r="AY40" s="32">
        <v>54.999999999999993</v>
      </c>
      <c r="AZ40" s="32">
        <v>39</v>
      </c>
    </row>
    <row r="41" spans="1:52">
      <c r="A41" s="31">
        <v>39</v>
      </c>
      <c r="B41" s="32">
        <v>4</v>
      </c>
      <c r="C41" s="32">
        <v>26.000000000000004</v>
      </c>
      <c r="D41" s="32">
        <v>10</v>
      </c>
      <c r="E41" s="32">
        <v>9</v>
      </c>
      <c r="F41" s="32">
        <v>11</v>
      </c>
      <c r="G41" s="32">
        <v>9</v>
      </c>
      <c r="H41" s="32">
        <v>6</v>
      </c>
      <c r="I41" s="32">
        <v>11</v>
      </c>
      <c r="J41" s="32">
        <v>14</v>
      </c>
      <c r="K41" s="32">
        <v>14</v>
      </c>
      <c r="L41" s="32">
        <v>12</v>
      </c>
      <c r="M41" s="32">
        <v>12</v>
      </c>
      <c r="N41" s="32">
        <v>10</v>
      </c>
      <c r="O41" s="32">
        <v>4</v>
      </c>
      <c r="P41" s="32">
        <v>9</v>
      </c>
      <c r="Q41" s="32">
        <v>20.999999999999996</v>
      </c>
      <c r="R41" s="32">
        <v>16</v>
      </c>
      <c r="S41" s="32">
        <v>11</v>
      </c>
      <c r="T41" s="32">
        <v>4</v>
      </c>
      <c r="U41" s="32">
        <v>28</v>
      </c>
      <c r="V41" s="32">
        <v>8</v>
      </c>
      <c r="W41" s="32">
        <v>22</v>
      </c>
      <c r="X41" s="32">
        <v>7</v>
      </c>
      <c r="Y41" s="32">
        <v>20</v>
      </c>
      <c r="Z41" s="32">
        <v>22</v>
      </c>
      <c r="AA41" s="32">
        <v>28</v>
      </c>
      <c r="AB41" s="32">
        <v>47</v>
      </c>
      <c r="AC41" s="32">
        <v>116.00000000000001</v>
      </c>
      <c r="AD41" s="32">
        <v>36</v>
      </c>
      <c r="AE41" s="32">
        <v>23.000000000000004</v>
      </c>
      <c r="AF41" s="32">
        <v>60</v>
      </c>
      <c r="AG41" s="32">
        <v>14</v>
      </c>
      <c r="AH41" s="32">
        <v>12</v>
      </c>
      <c r="AI41" s="32">
        <v>10</v>
      </c>
      <c r="AJ41" s="32">
        <v>12</v>
      </c>
      <c r="AK41" s="32">
        <v>14</v>
      </c>
      <c r="AL41" s="32">
        <v>26.000000000000004</v>
      </c>
      <c r="AM41" s="32">
        <v>30</v>
      </c>
      <c r="AN41" s="32">
        <v>31.000000000000004</v>
      </c>
      <c r="AO41" s="32">
        <v>9999</v>
      </c>
      <c r="AP41" s="32">
        <v>7</v>
      </c>
      <c r="AQ41" s="32">
        <v>17</v>
      </c>
      <c r="AR41" s="32">
        <v>18</v>
      </c>
      <c r="AS41" s="32">
        <v>24</v>
      </c>
      <c r="AT41" s="32">
        <v>41.999999999999993</v>
      </c>
      <c r="AU41" s="32">
        <v>117</v>
      </c>
      <c r="AV41" s="32">
        <v>16</v>
      </c>
      <c r="AW41" s="32">
        <v>9</v>
      </c>
      <c r="AX41" s="32">
        <v>53</v>
      </c>
      <c r="AY41" s="32">
        <v>36</v>
      </c>
      <c r="AZ41" s="32">
        <v>60.999999999999993</v>
      </c>
    </row>
    <row r="42" spans="1:52">
      <c r="A42" s="31">
        <v>40</v>
      </c>
      <c r="B42" s="32">
        <v>9</v>
      </c>
      <c r="C42" s="32">
        <v>32</v>
      </c>
      <c r="D42" s="32">
        <v>10</v>
      </c>
      <c r="E42" s="32">
        <v>10</v>
      </c>
      <c r="F42" s="32">
        <v>18</v>
      </c>
      <c r="G42" s="32">
        <v>7</v>
      </c>
      <c r="H42" s="32">
        <v>12</v>
      </c>
      <c r="I42" s="32">
        <v>12</v>
      </c>
      <c r="J42" s="32">
        <v>12</v>
      </c>
      <c r="K42" s="32">
        <v>9</v>
      </c>
      <c r="L42" s="32">
        <v>10</v>
      </c>
      <c r="M42" s="32">
        <v>10</v>
      </c>
      <c r="N42" s="32">
        <v>9</v>
      </c>
      <c r="O42" s="32">
        <v>8</v>
      </c>
      <c r="P42" s="32">
        <v>8</v>
      </c>
      <c r="Q42" s="32">
        <v>22</v>
      </c>
      <c r="R42" s="32">
        <v>11</v>
      </c>
      <c r="S42" s="32">
        <v>9</v>
      </c>
      <c r="T42" s="32">
        <v>9</v>
      </c>
      <c r="U42" s="32">
        <v>28</v>
      </c>
      <c r="V42" s="32">
        <v>8</v>
      </c>
      <c r="W42" s="32">
        <v>23.000000000000004</v>
      </c>
      <c r="X42" s="32">
        <v>13.000000000000002</v>
      </c>
      <c r="Y42" s="32">
        <v>26.000000000000004</v>
      </c>
      <c r="Z42" s="32">
        <v>20.999999999999996</v>
      </c>
      <c r="AA42" s="32">
        <v>28</v>
      </c>
      <c r="AB42" s="32">
        <v>54</v>
      </c>
      <c r="AC42" s="32">
        <v>121.99999999999999</v>
      </c>
      <c r="AD42" s="32">
        <v>35</v>
      </c>
      <c r="AE42" s="32">
        <v>23.000000000000004</v>
      </c>
      <c r="AF42" s="32">
        <v>60</v>
      </c>
      <c r="AG42" s="32">
        <v>10</v>
      </c>
      <c r="AH42" s="32">
        <v>7</v>
      </c>
      <c r="AI42" s="32">
        <v>11</v>
      </c>
      <c r="AJ42" s="32">
        <v>10</v>
      </c>
      <c r="AK42" s="32">
        <v>10</v>
      </c>
      <c r="AL42" s="32">
        <v>32</v>
      </c>
      <c r="AM42" s="32">
        <v>30</v>
      </c>
      <c r="AN42" s="32">
        <v>31.000000000000004</v>
      </c>
      <c r="AO42" s="32">
        <v>8</v>
      </c>
      <c r="AP42" s="32">
        <v>9999</v>
      </c>
      <c r="AQ42" s="32">
        <v>24</v>
      </c>
      <c r="AR42" s="32">
        <v>18</v>
      </c>
      <c r="AS42" s="32">
        <v>30</v>
      </c>
      <c r="AT42" s="32">
        <v>48</v>
      </c>
      <c r="AU42" s="32">
        <v>124.00000000000001</v>
      </c>
      <c r="AV42" s="32">
        <v>22</v>
      </c>
      <c r="AW42" s="32">
        <v>15</v>
      </c>
      <c r="AX42" s="32">
        <v>52.000000000000007</v>
      </c>
      <c r="AY42" s="32">
        <v>35</v>
      </c>
      <c r="AZ42" s="32">
        <v>62.000000000000007</v>
      </c>
    </row>
    <row r="43" spans="1:52">
      <c r="A43" s="31">
        <v>41</v>
      </c>
      <c r="B43" s="32">
        <v>16</v>
      </c>
      <c r="C43" s="32">
        <v>38</v>
      </c>
      <c r="D43" s="32">
        <v>22</v>
      </c>
      <c r="E43" s="32">
        <v>20</v>
      </c>
      <c r="F43" s="32">
        <v>15</v>
      </c>
      <c r="G43" s="32">
        <v>22</v>
      </c>
      <c r="H43" s="32">
        <v>16</v>
      </c>
      <c r="I43" s="32">
        <v>20</v>
      </c>
      <c r="J43" s="32">
        <v>16</v>
      </c>
      <c r="K43" s="32">
        <v>23.000000000000004</v>
      </c>
      <c r="L43" s="32">
        <v>25</v>
      </c>
      <c r="M43" s="32">
        <v>23.000000000000004</v>
      </c>
      <c r="N43" s="32">
        <v>23.000000000000004</v>
      </c>
      <c r="O43" s="32">
        <v>20</v>
      </c>
      <c r="P43" s="32">
        <v>22</v>
      </c>
      <c r="Q43" s="32">
        <v>28</v>
      </c>
      <c r="R43" s="32">
        <v>23.000000000000004</v>
      </c>
      <c r="S43" s="32">
        <v>22</v>
      </c>
      <c r="T43" s="32">
        <v>17</v>
      </c>
      <c r="U43" s="32">
        <v>41.999999999999993</v>
      </c>
      <c r="V43" s="32">
        <v>22</v>
      </c>
      <c r="W43" s="32">
        <v>37</v>
      </c>
      <c r="X43" s="32">
        <v>19</v>
      </c>
      <c r="Y43" s="32">
        <v>4</v>
      </c>
      <c r="Z43" s="32">
        <v>36</v>
      </c>
      <c r="AA43" s="32">
        <v>41.999999999999993</v>
      </c>
      <c r="AB43" s="32">
        <v>33</v>
      </c>
      <c r="AC43" s="32">
        <v>105</v>
      </c>
      <c r="AD43" s="32">
        <v>50</v>
      </c>
      <c r="AE43" s="32">
        <v>32</v>
      </c>
      <c r="AF43" s="32">
        <v>74</v>
      </c>
      <c r="AG43" s="32">
        <v>23.000000000000004</v>
      </c>
      <c r="AH43" s="32">
        <v>23.000000000000004</v>
      </c>
      <c r="AI43" s="32">
        <v>18</v>
      </c>
      <c r="AJ43" s="32">
        <v>20</v>
      </c>
      <c r="AK43" s="32">
        <v>23.000000000000004</v>
      </c>
      <c r="AL43" s="32">
        <v>15</v>
      </c>
      <c r="AM43" s="32">
        <v>36</v>
      </c>
      <c r="AN43" s="32">
        <v>35</v>
      </c>
      <c r="AO43" s="32">
        <v>18</v>
      </c>
      <c r="AP43" s="32">
        <v>24</v>
      </c>
      <c r="AQ43" s="32">
        <v>9999</v>
      </c>
      <c r="AR43" s="32">
        <v>30</v>
      </c>
      <c r="AS43" s="32">
        <v>37</v>
      </c>
      <c r="AT43" s="32">
        <v>31.000000000000004</v>
      </c>
      <c r="AU43" s="32">
        <v>107</v>
      </c>
      <c r="AV43" s="32">
        <v>28</v>
      </c>
      <c r="AW43" s="32">
        <v>22</v>
      </c>
      <c r="AX43" s="32">
        <v>67</v>
      </c>
      <c r="AY43" s="32">
        <v>50</v>
      </c>
      <c r="AZ43" s="32">
        <v>73.000000000000014</v>
      </c>
    </row>
    <row r="44" spans="1:52">
      <c r="A44" s="31">
        <v>42</v>
      </c>
      <c r="B44" s="32">
        <v>16</v>
      </c>
      <c r="C44" s="32">
        <v>38</v>
      </c>
      <c r="D44" s="32">
        <v>25</v>
      </c>
      <c r="E44" s="32">
        <v>24</v>
      </c>
      <c r="F44" s="32">
        <v>24</v>
      </c>
      <c r="G44" s="32">
        <v>22</v>
      </c>
      <c r="H44" s="32">
        <v>22</v>
      </c>
      <c r="I44" s="32">
        <v>26.000000000000004</v>
      </c>
      <c r="J44" s="32">
        <v>28</v>
      </c>
      <c r="K44" s="32">
        <v>25</v>
      </c>
      <c r="L44" s="32">
        <v>24</v>
      </c>
      <c r="M44" s="32">
        <v>25</v>
      </c>
      <c r="N44" s="32">
        <v>24</v>
      </c>
      <c r="O44" s="32">
        <v>18</v>
      </c>
      <c r="P44" s="32">
        <v>15</v>
      </c>
      <c r="Q44" s="32">
        <v>29.000000000000004</v>
      </c>
      <c r="R44" s="32">
        <v>27</v>
      </c>
      <c r="S44" s="32">
        <v>24</v>
      </c>
      <c r="T44" s="32">
        <v>19</v>
      </c>
      <c r="U44" s="32">
        <v>23.000000000000004</v>
      </c>
      <c r="V44" s="32">
        <v>15</v>
      </c>
      <c r="W44" s="32">
        <v>22</v>
      </c>
      <c r="X44" s="32">
        <v>19</v>
      </c>
      <c r="Y44" s="32">
        <v>33</v>
      </c>
      <c r="Z44" s="32">
        <v>17</v>
      </c>
      <c r="AA44" s="32">
        <v>23.000000000000004</v>
      </c>
      <c r="AB44" s="32">
        <v>60</v>
      </c>
      <c r="AC44" s="32">
        <v>129</v>
      </c>
      <c r="AD44" s="32">
        <v>30</v>
      </c>
      <c r="AE44" s="32">
        <v>27</v>
      </c>
      <c r="AF44" s="32">
        <v>54.999999999999993</v>
      </c>
      <c r="AG44" s="32">
        <v>26.000000000000004</v>
      </c>
      <c r="AH44" s="32">
        <v>23.000000000000004</v>
      </c>
      <c r="AI44" s="32">
        <v>25</v>
      </c>
      <c r="AJ44" s="32">
        <v>26.000000000000004</v>
      </c>
      <c r="AK44" s="32">
        <v>26.000000000000004</v>
      </c>
      <c r="AL44" s="32">
        <v>39</v>
      </c>
      <c r="AM44" s="32">
        <v>37</v>
      </c>
      <c r="AN44" s="32">
        <v>38</v>
      </c>
      <c r="AO44" s="32">
        <v>18</v>
      </c>
      <c r="AP44" s="32">
        <v>18</v>
      </c>
      <c r="AQ44" s="32">
        <v>30</v>
      </c>
      <c r="AR44" s="32">
        <v>9999</v>
      </c>
      <c r="AS44" s="32">
        <v>37</v>
      </c>
      <c r="AT44" s="32">
        <v>54.999999999999993</v>
      </c>
      <c r="AU44" s="32">
        <v>130</v>
      </c>
      <c r="AV44" s="32">
        <v>29.000000000000004</v>
      </c>
      <c r="AW44" s="32">
        <v>20.999999999999996</v>
      </c>
      <c r="AX44" s="32">
        <v>48</v>
      </c>
      <c r="AY44" s="32">
        <v>31.000000000000004</v>
      </c>
      <c r="AZ44" s="32">
        <v>67</v>
      </c>
    </row>
    <row r="45" spans="1:52">
      <c r="A45" s="31">
        <v>43</v>
      </c>
      <c r="B45" s="32">
        <v>24</v>
      </c>
      <c r="C45" s="32">
        <v>0</v>
      </c>
      <c r="D45" s="32">
        <v>32</v>
      </c>
      <c r="E45" s="32">
        <v>31.000000000000004</v>
      </c>
      <c r="F45" s="32">
        <v>31.000000000000004</v>
      </c>
      <c r="G45" s="32">
        <v>31.000000000000004</v>
      </c>
      <c r="H45" s="32">
        <v>29.000000000000004</v>
      </c>
      <c r="I45" s="32">
        <v>32</v>
      </c>
      <c r="J45" s="32">
        <v>36</v>
      </c>
      <c r="K45" s="32">
        <v>34</v>
      </c>
      <c r="L45" s="32">
        <v>35</v>
      </c>
      <c r="M45" s="32">
        <v>33</v>
      </c>
      <c r="N45" s="32">
        <v>32</v>
      </c>
      <c r="O45" s="32">
        <v>26.000000000000004</v>
      </c>
      <c r="P45" s="32">
        <v>29.000000000000004</v>
      </c>
      <c r="Q45" s="32">
        <v>44</v>
      </c>
      <c r="R45" s="32">
        <v>36</v>
      </c>
      <c r="S45" s="32">
        <v>32</v>
      </c>
      <c r="T45" s="32">
        <v>26.000000000000004</v>
      </c>
      <c r="U45" s="32">
        <v>48.999999999999993</v>
      </c>
      <c r="V45" s="32">
        <v>29.000000000000004</v>
      </c>
      <c r="W45" s="32">
        <v>44</v>
      </c>
      <c r="X45" s="32">
        <v>20</v>
      </c>
      <c r="Y45" s="32">
        <v>40</v>
      </c>
      <c r="Z45" s="32">
        <v>41.999999999999993</v>
      </c>
      <c r="AA45" s="32">
        <v>48</v>
      </c>
      <c r="AB45" s="32">
        <v>68</v>
      </c>
      <c r="AC45" s="32">
        <v>136</v>
      </c>
      <c r="AD45" s="32">
        <v>56</v>
      </c>
      <c r="AE45" s="32">
        <v>45</v>
      </c>
      <c r="AF45" s="32">
        <v>80</v>
      </c>
      <c r="AG45" s="32">
        <v>35</v>
      </c>
      <c r="AH45" s="32">
        <v>32</v>
      </c>
      <c r="AI45" s="32">
        <v>32</v>
      </c>
      <c r="AJ45" s="32">
        <v>34</v>
      </c>
      <c r="AK45" s="32">
        <v>35</v>
      </c>
      <c r="AL45" s="32">
        <v>46.000000000000007</v>
      </c>
      <c r="AM45" s="32">
        <v>52.000000000000007</v>
      </c>
      <c r="AN45" s="32">
        <v>53</v>
      </c>
      <c r="AO45" s="32">
        <v>25</v>
      </c>
      <c r="AP45" s="32">
        <v>30</v>
      </c>
      <c r="AQ45" s="32">
        <v>38</v>
      </c>
      <c r="AR45" s="32">
        <v>43</v>
      </c>
      <c r="AS45" s="32">
        <v>9999</v>
      </c>
      <c r="AT45" s="32">
        <v>71</v>
      </c>
      <c r="AU45" s="32">
        <v>138</v>
      </c>
      <c r="AV45" s="32">
        <v>18</v>
      </c>
      <c r="AW45" s="32">
        <v>22</v>
      </c>
      <c r="AX45" s="32">
        <v>74</v>
      </c>
      <c r="AY45" s="32">
        <v>56</v>
      </c>
      <c r="AZ45" s="32">
        <v>83</v>
      </c>
    </row>
    <row r="46" spans="1:52">
      <c r="A46" s="31">
        <v>44</v>
      </c>
      <c r="B46" s="32">
        <v>39</v>
      </c>
      <c r="C46" s="32">
        <v>62.000000000000007</v>
      </c>
      <c r="D46" s="32">
        <v>44</v>
      </c>
      <c r="E46" s="32">
        <v>51</v>
      </c>
      <c r="F46" s="32">
        <v>38</v>
      </c>
      <c r="G46" s="32">
        <v>45</v>
      </c>
      <c r="H46" s="32">
        <v>39</v>
      </c>
      <c r="I46" s="32">
        <v>43</v>
      </c>
      <c r="J46" s="32">
        <v>39</v>
      </c>
      <c r="K46" s="32">
        <v>47</v>
      </c>
      <c r="L46" s="32">
        <v>48</v>
      </c>
      <c r="M46" s="32">
        <v>45</v>
      </c>
      <c r="N46" s="32">
        <v>45</v>
      </c>
      <c r="O46" s="32">
        <v>43</v>
      </c>
      <c r="P46" s="32">
        <v>46.000000000000007</v>
      </c>
      <c r="Q46" s="32">
        <v>48.999999999999993</v>
      </c>
      <c r="R46" s="32">
        <v>46.000000000000007</v>
      </c>
      <c r="S46" s="32">
        <v>44</v>
      </c>
      <c r="T46" s="32">
        <v>40</v>
      </c>
      <c r="U46" s="32">
        <v>66</v>
      </c>
      <c r="V46" s="32">
        <v>46.000000000000007</v>
      </c>
      <c r="W46" s="32">
        <v>60</v>
      </c>
      <c r="X46" s="32">
        <v>41.999999999999993</v>
      </c>
      <c r="Y46" s="32">
        <v>32</v>
      </c>
      <c r="Z46" s="32">
        <v>59</v>
      </c>
      <c r="AA46" s="32">
        <v>65</v>
      </c>
      <c r="AB46" s="32">
        <v>54</v>
      </c>
      <c r="AC46" s="32">
        <v>97</v>
      </c>
      <c r="AD46" s="32">
        <v>73.000000000000014</v>
      </c>
      <c r="AE46" s="32">
        <v>54</v>
      </c>
      <c r="AF46" s="32">
        <v>97</v>
      </c>
      <c r="AG46" s="32">
        <v>46.000000000000007</v>
      </c>
      <c r="AH46" s="32">
        <v>46.000000000000007</v>
      </c>
      <c r="AI46" s="32">
        <v>41</v>
      </c>
      <c r="AJ46" s="32">
        <v>43</v>
      </c>
      <c r="AK46" s="32">
        <v>46.000000000000007</v>
      </c>
      <c r="AL46" s="32">
        <v>26.000000000000004</v>
      </c>
      <c r="AM46" s="32">
        <v>58.000000000000007</v>
      </c>
      <c r="AN46" s="32">
        <v>57</v>
      </c>
      <c r="AO46" s="32">
        <v>41</v>
      </c>
      <c r="AP46" s="32">
        <v>46.000000000000007</v>
      </c>
      <c r="AQ46" s="32">
        <v>29.000000000000004</v>
      </c>
      <c r="AR46" s="32">
        <v>53</v>
      </c>
      <c r="AS46" s="32">
        <v>60</v>
      </c>
      <c r="AT46" s="32">
        <v>9999</v>
      </c>
      <c r="AU46" s="32">
        <v>98.999999999999986</v>
      </c>
      <c r="AV46" s="32">
        <v>52.000000000000007</v>
      </c>
      <c r="AW46" s="32">
        <v>45</v>
      </c>
      <c r="AX46" s="32">
        <v>90</v>
      </c>
      <c r="AY46" s="32">
        <v>73.000000000000014</v>
      </c>
      <c r="AZ46" s="32">
        <v>96</v>
      </c>
    </row>
    <row r="47" spans="1:52">
      <c r="A47" s="31">
        <v>45</v>
      </c>
      <c r="B47" s="32">
        <v>114.99999999999999</v>
      </c>
      <c r="C47" s="32">
        <v>138</v>
      </c>
      <c r="D47" s="32">
        <v>120</v>
      </c>
      <c r="E47" s="32">
        <v>119</v>
      </c>
      <c r="F47" s="32">
        <v>114</v>
      </c>
      <c r="G47" s="32">
        <v>120.99999999999999</v>
      </c>
      <c r="H47" s="32">
        <v>114.99999999999999</v>
      </c>
      <c r="I47" s="32">
        <v>119</v>
      </c>
      <c r="J47" s="32">
        <v>131</v>
      </c>
      <c r="K47" s="32">
        <v>122.99999999999999</v>
      </c>
      <c r="L47" s="32">
        <v>124.00000000000001</v>
      </c>
      <c r="M47" s="32">
        <v>120.99999999999999</v>
      </c>
      <c r="N47" s="32">
        <v>120.99999999999999</v>
      </c>
      <c r="O47" s="32">
        <v>120</v>
      </c>
      <c r="P47" s="32">
        <v>121.99999999999999</v>
      </c>
      <c r="Q47" s="32">
        <v>125.00000000000001</v>
      </c>
      <c r="R47" s="32">
        <v>121.99999999999999</v>
      </c>
      <c r="S47" s="32">
        <v>120</v>
      </c>
      <c r="T47" s="32">
        <v>116.00000000000001</v>
      </c>
      <c r="U47" s="32">
        <v>142</v>
      </c>
      <c r="V47" s="32">
        <v>121.99999999999999</v>
      </c>
      <c r="W47" s="32">
        <v>150</v>
      </c>
      <c r="X47" s="32">
        <v>119</v>
      </c>
      <c r="Y47" s="32">
        <v>108</v>
      </c>
      <c r="Z47" s="32">
        <v>135</v>
      </c>
      <c r="AA47" s="32">
        <v>142</v>
      </c>
      <c r="AB47" s="32">
        <v>131</v>
      </c>
      <c r="AC47" s="32">
        <v>2</v>
      </c>
      <c r="AD47" s="32">
        <v>149</v>
      </c>
      <c r="AE47" s="32">
        <v>130</v>
      </c>
      <c r="AF47" s="32">
        <v>174</v>
      </c>
      <c r="AG47" s="32">
        <v>132</v>
      </c>
      <c r="AH47" s="32">
        <v>121.99999999999999</v>
      </c>
      <c r="AI47" s="32">
        <v>117</v>
      </c>
      <c r="AJ47" s="32">
        <v>119</v>
      </c>
      <c r="AK47" s="32">
        <v>121.99999999999999</v>
      </c>
      <c r="AL47" s="32">
        <v>102</v>
      </c>
      <c r="AM47" s="32">
        <v>134</v>
      </c>
      <c r="AN47" s="32">
        <v>133</v>
      </c>
      <c r="AO47" s="32">
        <v>117</v>
      </c>
      <c r="AP47" s="32">
        <v>121.99999999999999</v>
      </c>
      <c r="AQ47" s="32">
        <v>105</v>
      </c>
      <c r="AR47" s="32">
        <v>129</v>
      </c>
      <c r="AS47" s="32">
        <v>136</v>
      </c>
      <c r="AT47" s="32">
        <v>97.999999999999986</v>
      </c>
      <c r="AU47" s="32">
        <v>9999</v>
      </c>
      <c r="AV47" s="32">
        <v>128</v>
      </c>
      <c r="AW47" s="32">
        <v>120.99999999999999</v>
      </c>
      <c r="AX47" s="32">
        <v>167</v>
      </c>
      <c r="AY47" s="32">
        <v>149</v>
      </c>
      <c r="AZ47" s="32">
        <v>173</v>
      </c>
    </row>
    <row r="48" spans="1:52">
      <c r="A48" s="31">
        <v>46</v>
      </c>
      <c r="B48" s="32">
        <v>15</v>
      </c>
      <c r="C48" s="32">
        <v>20</v>
      </c>
      <c r="D48" s="32">
        <v>23.000000000000004</v>
      </c>
      <c r="E48" s="32">
        <v>22</v>
      </c>
      <c r="F48" s="32">
        <v>22</v>
      </c>
      <c r="G48" s="32">
        <v>29.000000000000004</v>
      </c>
      <c r="H48" s="32">
        <v>20</v>
      </c>
      <c r="I48" s="32">
        <v>24</v>
      </c>
      <c r="J48" s="32">
        <v>27</v>
      </c>
      <c r="K48" s="32">
        <v>25</v>
      </c>
      <c r="L48" s="32">
        <v>26.000000000000004</v>
      </c>
      <c r="M48" s="32">
        <v>24</v>
      </c>
      <c r="N48" s="32">
        <v>23.000000000000004</v>
      </c>
      <c r="O48" s="32">
        <v>17</v>
      </c>
      <c r="P48" s="32">
        <v>20</v>
      </c>
      <c r="Q48" s="32">
        <v>35</v>
      </c>
      <c r="R48" s="32">
        <v>27</v>
      </c>
      <c r="S48" s="32">
        <v>23.000000000000004</v>
      </c>
      <c r="T48" s="32">
        <v>17</v>
      </c>
      <c r="U48" s="32">
        <v>40</v>
      </c>
      <c r="V48" s="32">
        <v>20</v>
      </c>
      <c r="W48" s="32">
        <v>36</v>
      </c>
      <c r="X48" s="32">
        <v>11</v>
      </c>
      <c r="Y48" s="32">
        <v>31.000000000000004</v>
      </c>
      <c r="Z48" s="32">
        <v>41.999999999999993</v>
      </c>
      <c r="AA48" s="32">
        <v>40</v>
      </c>
      <c r="AB48" s="32">
        <v>59</v>
      </c>
      <c r="AC48" s="32">
        <v>127.00000000000001</v>
      </c>
      <c r="AD48" s="32">
        <v>56</v>
      </c>
      <c r="AE48" s="32">
        <v>36</v>
      </c>
      <c r="AF48" s="32">
        <v>72</v>
      </c>
      <c r="AG48" s="32">
        <v>26.000000000000004</v>
      </c>
      <c r="AH48" s="32">
        <v>23.000000000000004</v>
      </c>
      <c r="AI48" s="32">
        <v>23.000000000000004</v>
      </c>
      <c r="AJ48" s="32">
        <v>24</v>
      </c>
      <c r="AK48" s="32">
        <v>26.000000000000004</v>
      </c>
      <c r="AL48" s="32">
        <v>37</v>
      </c>
      <c r="AM48" s="32">
        <v>43</v>
      </c>
      <c r="AN48" s="32">
        <v>44</v>
      </c>
      <c r="AO48" s="32">
        <v>16</v>
      </c>
      <c r="AP48" s="32">
        <v>20.999999999999996</v>
      </c>
      <c r="AQ48" s="32">
        <v>29.000000000000004</v>
      </c>
      <c r="AR48" s="32">
        <v>27</v>
      </c>
      <c r="AS48" s="32">
        <v>18</v>
      </c>
      <c r="AT48" s="32">
        <v>53</v>
      </c>
      <c r="AU48" s="32">
        <v>128</v>
      </c>
      <c r="AV48" s="32">
        <v>9999</v>
      </c>
      <c r="AW48" s="32">
        <v>13.000000000000002</v>
      </c>
      <c r="AX48" s="32">
        <v>65</v>
      </c>
      <c r="AY48" s="32">
        <v>56</v>
      </c>
      <c r="AZ48" s="32">
        <v>74</v>
      </c>
    </row>
    <row r="49" spans="1:52">
      <c r="A49" s="31">
        <v>47</v>
      </c>
      <c r="B49" s="32">
        <v>10</v>
      </c>
      <c r="C49" s="32">
        <v>24</v>
      </c>
      <c r="D49" s="32">
        <v>18</v>
      </c>
      <c r="E49" s="32">
        <v>17</v>
      </c>
      <c r="F49" s="32">
        <v>13.000000000000002</v>
      </c>
      <c r="G49" s="32">
        <v>17</v>
      </c>
      <c r="H49" s="32">
        <v>14</v>
      </c>
      <c r="I49" s="32">
        <v>18</v>
      </c>
      <c r="J49" s="32">
        <v>22</v>
      </c>
      <c r="K49" s="32">
        <v>20</v>
      </c>
      <c r="L49" s="32">
        <v>20</v>
      </c>
      <c r="M49" s="32">
        <v>19</v>
      </c>
      <c r="N49" s="32">
        <v>18</v>
      </c>
      <c r="O49" s="32">
        <v>12</v>
      </c>
      <c r="P49" s="32">
        <v>18</v>
      </c>
      <c r="Q49" s="32">
        <v>38</v>
      </c>
      <c r="R49" s="32">
        <v>22</v>
      </c>
      <c r="S49" s="32">
        <v>18</v>
      </c>
      <c r="T49" s="32">
        <v>12</v>
      </c>
      <c r="U49" s="32">
        <v>34</v>
      </c>
      <c r="V49" s="32">
        <v>14</v>
      </c>
      <c r="W49" s="32">
        <v>30</v>
      </c>
      <c r="X49" s="32">
        <v>4</v>
      </c>
      <c r="Y49" s="32">
        <v>26.000000000000004</v>
      </c>
      <c r="Z49" s="32">
        <v>28</v>
      </c>
      <c r="AA49" s="32">
        <v>34</v>
      </c>
      <c r="AB49" s="32">
        <v>53</v>
      </c>
      <c r="AC49" s="32">
        <v>121.99999999999999</v>
      </c>
      <c r="AD49" s="32">
        <v>41.999999999999993</v>
      </c>
      <c r="AE49" s="32">
        <v>31.000000000000004</v>
      </c>
      <c r="AF49" s="32">
        <v>66</v>
      </c>
      <c r="AG49" s="32">
        <v>20</v>
      </c>
      <c r="AH49" s="32">
        <v>18</v>
      </c>
      <c r="AI49" s="32">
        <v>18</v>
      </c>
      <c r="AJ49" s="32">
        <v>19</v>
      </c>
      <c r="AK49" s="32">
        <v>20</v>
      </c>
      <c r="AL49" s="32">
        <v>32</v>
      </c>
      <c r="AM49" s="32">
        <v>46.000000000000007</v>
      </c>
      <c r="AN49" s="32">
        <v>44</v>
      </c>
      <c r="AO49" s="32">
        <v>10</v>
      </c>
      <c r="AP49" s="32">
        <v>15</v>
      </c>
      <c r="AQ49" s="32">
        <v>23.000000000000004</v>
      </c>
      <c r="AR49" s="32">
        <v>22</v>
      </c>
      <c r="AS49" s="32">
        <v>23.000000000000004</v>
      </c>
      <c r="AT49" s="32">
        <v>48</v>
      </c>
      <c r="AU49" s="32">
        <v>122.99999999999999</v>
      </c>
      <c r="AV49" s="32">
        <v>14</v>
      </c>
      <c r="AW49" s="32">
        <v>9999</v>
      </c>
      <c r="AX49" s="32">
        <v>59</v>
      </c>
      <c r="AY49" s="32">
        <v>41.999999999999993</v>
      </c>
      <c r="AZ49" s="32">
        <v>69</v>
      </c>
    </row>
    <row r="50" spans="1:52">
      <c r="A50" s="31">
        <v>48</v>
      </c>
      <c r="B50" s="32">
        <v>50</v>
      </c>
      <c r="C50" s="32">
        <v>72</v>
      </c>
      <c r="D50" s="32">
        <v>56</v>
      </c>
      <c r="E50" s="32">
        <v>56</v>
      </c>
      <c r="F50" s="32">
        <v>58.000000000000007</v>
      </c>
      <c r="G50" s="32">
        <v>53</v>
      </c>
      <c r="H50" s="32">
        <v>54.999999999999993</v>
      </c>
      <c r="I50" s="32">
        <v>57</v>
      </c>
      <c r="J50" s="32">
        <v>56</v>
      </c>
      <c r="K50" s="32">
        <v>52.000000000000007</v>
      </c>
      <c r="L50" s="32">
        <v>48.999999999999993</v>
      </c>
      <c r="M50" s="32">
        <v>54.999999999999993</v>
      </c>
      <c r="N50" s="32">
        <v>54</v>
      </c>
      <c r="O50" s="32">
        <v>51</v>
      </c>
      <c r="P50" s="32">
        <v>48</v>
      </c>
      <c r="Q50" s="32">
        <v>53</v>
      </c>
      <c r="R50" s="32">
        <v>62.000000000000007</v>
      </c>
      <c r="S50" s="32">
        <v>54.999999999999993</v>
      </c>
      <c r="T50" s="32">
        <v>51</v>
      </c>
      <c r="U50" s="32">
        <v>45</v>
      </c>
      <c r="V50" s="32">
        <v>48</v>
      </c>
      <c r="W50" s="32">
        <v>38</v>
      </c>
      <c r="X50" s="32">
        <v>53</v>
      </c>
      <c r="Y50" s="32">
        <v>67</v>
      </c>
      <c r="Z50" s="32">
        <v>39</v>
      </c>
      <c r="AA50" s="32">
        <v>45</v>
      </c>
      <c r="AB50" s="32">
        <v>95</v>
      </c>
      <c r="AC50" s="32">
        <v>162</v>
      </c>
      <c r="AD50" s="32">
        <v>52.000000000000007</v>
      </c>
      <c r="AE50" s="32">
        <v>51</v>
      </c>
      <c r="AF50" s="32">
        <v>77</v>
      </c>
      <c r="AG50" s="32">
        <v>51</v>
      </c>
      <c r="AH50" s="32">
        <v>51</v>
      </c>
      <c r="AI50" s="32">
        <v>58.000000000000007</v>
      </c>
      <c r="AJ50" s="32">
        <v>54</v>
      </c>
      <c r="AK50" s="32">
        <v>51</v>
      </c>
      <c r="AL50" s="32">
        <v>82</v>
      </c>
      <c r="AM50" s="32">
        <v>62.000000000000007</v>
      </c>
      <c r="AN50" s="32">
        <v>63.000000000000007</v>
      </c>
      <c r="AO50" s="32">
        <v>54.999999999999993</v>
      </c>
      <c r="AP50" s="32">
        <v>48</v>
      </c>
      <c r="AQ50" s="32">
        <v>65</v>
      </c>
      <c r="AR50" s="32">
        <v>46.000000000000007</v>
      </c>
      <c r="AS50" s="32">
        <v>71</v>
      </c>
      <c r="AT50" s="32">
        <v>89</v>
      </c>
      <c r="AU50" s="32">
        <v>163</v>
      </c>
      <c r="AV50" s="32">
        <v>62.000000000000007</v>
      </c>
      <c r="AW50" s="32">
        <v>56</v>
      </c>
      <c r="AX50" s="32">
        <v>9999</v>
      </c>
      <c r="AY50" s="32">
        <v>53</v>
      </c>
      <c r="AZ50" s="32">
        <v>91</v>
      </c>
    </row>
    <row r="51" spans="1:52">
      <c r="A51" s="31">
        <v>49</v>
      </c>
      <c r="B51" s="32">
        <v>36</v>
      </c>
      <c r="C51" s="32">
        <v>59</v>
      </c>
      <c r="D51" s="32">
        <v>41.999999999999993</v>
      </c>
      <c r="E51" s="32">
        <v>41.999999999999993</v>
      </c>
      <c r="F51" s="32">
        <v>45</v>
      </c>
      <c r="G51" s="32">
        <v>39</v>
      </c>
      <c r="H51" s="32">
        <v>41</v>
      </c>
      <c r="I51" s="32">
        <v>44</v>
      </c>
      <c r="J51" s="32">
        <v>45</v>
      </c>
      <c r="K51" s="32">
        <v>41.999999999999993</v>
      </c>
      <c r="L51" s="32">
        <v>41</v>
      </c>
      <c r="M51" s="32">
        <v>41.999999999999993</v>
      </c>
      <c r="N51" s="32">
        <v>41</v>
      </c>
      <c r="O51" s="32">
        <v>37</v>
      </c>
      <c r="P51" s="32">
        <v>34</v>
      </c>
      <c r="Q51" s="32">
        <v>46.000000000000007</v>
      </c>
      <c r="R51" s="32">
        <v>44</v>
      </c>
      <c r="S51" s="32">
        <v>41</v>
      </c>
      <c r="T51" s="32">
        <v>38</v>
      </c>
      <c r="U51" s="32">
        <v>18</v>
      </c>
      <c r="V51" s="32">
        <v>34</v>
      </c>
      <c r="W51" s="32">
        <v>35</v>
      </c>
      <c r="X51" s="32">
        <v>40</v>
      </c>
      <c r="Y51" s="32">
        <v>54</v>
      </c>
      <c r="Z51" s="32">
        <v>18</v>
      </c>
      <c r="AA51" s="32">
        <v>18</v>
      </c>
      <c r="AB51" s="32">
        <v>66</v>
      </c>
      <c r="AC51" s="32">
        <v>149</v>
      </c>
      <c r="AD51" s="32">
        <v>13.000000000000002</v>
      </c>
      <c r="AE51" s="32">
        <v>44</v>
      </c>
      <c r="AF51" s="32">
        <v>37</v>
      </c>
      <c r="AG51" s="32">
        <v>43</v>
      </c>
      <c r="AH51" s="32">
        <v>40</v>
      </c>
      <c r="AI51" s="32">
        <v>44</v>
      </c>
      <c r="AJ51" s="32">
        <v>43</v>
      </c>
      <c r="AK51" s="32">
        <v>43</v>
      </c>
      <c r="AL51" s="32">
        <v>60</v>
      </c>
      <c r="AM51" s="32">
        <v>54.999999999999993</v>
      </c>
      <c r="AN51" s="32">
        <v>56</v>
      </c>
      <c r="AO51" s="32">
        <v>36</v>
      </c>
      <c r="AP51" s="32">
        <v>35</v>
      </c>
      <c r="AQ51" s="32">
        <v>51</v>
      </c>
      <c r="AR51" s="32">
        <v>33</v>
      </c>
      <c r="AS51" s="32">
        <v>57</v>
      </c>
      <c r="AT51" s="32">
        <v>76</v>
      </c>
      <c r="AU51" s="32">
        <v>151</v>
      </c>
      <c r="AV51" s="32">
        <v>48.999999999999993</v>
      </c>
      <c r="AW51" s="32">
        <v>41.999999999999993</v>
      </c>
      <c r="AX51" s="32">
        <v>53</v>
      </c>
      <c r="AY51" s="32">
        <v>9999</v>
      </c>
      <c r="AZ51" s="32">
        <v>83.999999999999986</v>
      </c>
    </row>
    <row r="52" spans="1:52">
      <c r="A52" s="31">
        <v>50</v>
      </c>
      <c r="B52" s="32">
        <v>60.999999999999993</v>
      </c>
      <c r="C52" s="32">
        <v>83.999999999999986</v>
      </c>
      <c r="D52" s="32">
        <v>64</v>
      </c>
      <c r="E52" s="32">
        <v>65</v>
      </c>
      <c r="F52" s="32">
        <v>70</v>
      </c>
      <c r="G52" s="32">
        <v>62.000000000000007</v>
      </c>
      <c r="H52" s="32">
        <v>64</v>
      </c>
      <c r="I52" s="32">
        <v>66</v>
      </c>
      <c r="J52" s="32">
        <v>65</v>
      </c>
      <c r="K52" s="32">
        <v>59</v>
      </c>
      <c r="L52" s="32">
        <v>56</v>
      </c>
      <c r="M52" s="32">
        <v>63.000000000000007</v>
      </c>
      <c r="N52" s="32">
        <v>74</v>
      </c>
      <c r="O52" s="32">
        <v>60</v>
      </c>
      <c r="P52" s="32">
        <v>62.000000000000007</v>
      </c>
      <c r="Q52" s="32">
        <v>48.999999999999993</v>
      </c>
      <c r="R52" s="32">
        <v>60</v>
      </c>
      <c r="S52" s="32">
        <v>76</v>
      </c>
      <c r="T52" s="32">
        <v>60.999999999999993</v>
      </c>
      <c r="U52" s="32">
        <v>76</v>
      </c>
      <c r="V52" s="32">
        <v>62.000000000000007</v>
      </c>
      <c r="W52" s="32">
        <v>63.000000000000007</v>
      </c>
      <c r="X52" s="32">
        <v>65</v>
      </c>
      <c r="Y52" s="32">
        <v>73.000000000000014</v>
      </c>
      <c r="Z52" s="32">
        <v>69</v>
      </c>
      <c r="AA52" s="32">
        <v>75</v>
      </c>
      <c r="AB52" s="32">
        <v>99.999999999999986</v>
      </c>
      <c r="AC52" s="32">
        <v>167.99999999999997</v>
      </c>
      <c r="AD52" s="32">
        <v>83</v>
      </c>
      <c r="AE52" s="32">
        <v>48.999999999999993</v>
      </c>
      <c r="AF52" s="32">
        <v>107</v>
      </c>
      <c r="AG52" s="32">
        <v>58.000000000000007</v>
      </c>
      <c r="AH52" s="32">
        <v>60</v>
      </c>
      <c r="AI52" s="32">
        <v>64</v>
      </c>
      <c r="AJ52" s="32">
        <v>63.000000000000007</v>
      </c>
      <c r="AK52" s="32">
        <v>67</v>
      </c>
      <c r="AL52" s="32">
        <v>80</v>
      </c>
      <c r="AM52" s="32">
        <v>54.999999999999993</v>
      </c>
      <c r="AN52" s="32">
        <v>40</v>
      </c>
      <c r="AO52" s="32">
        <v>60</v>
      </c>
      <c r="AP52" s="32">
        <v>66</v>
      </c>
      <c r="AQ52" s="32">
        <v>71</v>
      </c>
      <c r="AR52" s="32">
        <v>65</v>
      </c>
      <c r="AS52" s="32">
        <v>82</v>
      </c>
      <c r="AT52" s="32">
        <v>95</v>
      </c>
      <c r="AU52" s="32">
        <v>170.00000000000003</v>
      </c>
      <c r="AV52" s="32">
        <v>74</v>
      </c>
      <c r="AW52" s="32">
        <v>67</v>
      </c>
      <c r="AX52" s="32">
        <v>94</v>
      </c>
      <c r="AY52" s="32">
        <v>83</v>
      </c>
      <c r="AZ52" s="32">
        <v>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60CD-CFCC-394D-BC1D-270184410F6C}">
  <dimension ref="A1:AZ52"/>
  <sheetViews>
    <sheetView zoomScale="70" zoomScaleNormal="70" workbookViewId="0">
      <selection activeCell="Y5" sqref="Y5"/>
    </sheetView>
  </sheetViews>
  <sheetFormatPr defaultColWidth="11.5546875" defaultRowHeight="15"/>
  <sheetData>
    <row r="1" spans="1:52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</row>
    <row r="2" spans="1:52">
      <c r="A2">
        <v>0</v>
      </c>
      <c r="B2" s="33">
        <v>9999</v>
      </c>
      <c r="C2" s="33">
        <f>Distance!C2*6</f>
        <v>74.304000000000002</v>
      </c>
      <c r="D2" s="33">
        <f>Distance!D2*6</f>
        <v>34.253999999999998</v>
      </c>
      <c r="E2" s="33">
        <f>Distance!E2*6</f>
        <v>27.665999999999997</v>
      </c>
      <c r="F2" s="33">
        <f>Distance!F2*6</f>
        <v>24.834000000000003</v>
      </c>
      <c r="G2" s="33">
        <f>Distance!G2*6</f>
        <v>28.193999999999999</v>
      </c>
      <c r="H2" s="33">
        <f>Distance!H2*6</f>
        <v>20.124000000000002</v>
      </c>
      <c r="I2" s="33">
        <f>Distance!I2*6</f>
        <v>30.978000000000002</v>
      </c>
      <c r="J2" s="33">
        <f>Distance!J2*6</f>
        <v>40.566000000000003</v>
      </c>
      <c r="K2" s="33">
        <f>Distance!K2*6</f>
        <v>35.94</v>
      </c>
      <c r="L2" s="33">
        <f>Distance!L2*6</f>
        <v>50.934000000000005</v>
      </c>
      <c r="M2" s="33">
        <f>Distance!M2*6</f>
        <v>32.375999999999998</v>
      </c>
      <c r="N2" s="33">
        <f>Distance!N2*6</f>
        <v>30.089999999999996</v>
      </c>
      <c r="O2" s="33">
        <f>Distance!O2*6</f>
        <v>19.134</v>
      </c>
      <c r="P2" s="33">
        <f>Distance!P2*6</f>
        <v>24.887999999999998</v>
      </c>
      <c r="Q2" s="33">
        <f>Distance!Q2*6</f>
        <v>107.11800000000001</v>
      </c>
      <c r="R2" s="33">
        <f>Distance!R2*6</f>
        <v>40.632000000000005</v>
      </c>
      <c r="S2" s="33">
        <f>Distance!S2*6</f>
        <v>30.756</v>
      </c>
      <c r="T2" s="33">
        <f>Distance!T2*6</f>
        <v>14.586</v>
      </c>
      <c r="U2" s="33">
        <f>Distance!U2*6</f>
        <v>130.70400000000001</v>
      </c>
      <c r="V2" s="33">
        <f>Distance!V2*6</f>
        <v>24.887999999999998</v>
      </c>
      <c r="W2" s="33">
        <f>Distance!W2*6</f>
        <v>100.80000000000001</v>
      </c>
      <c r="X2" s="33">
        <f>Distance!X2*6</f>
        <v>10.038</v>
      </c>
      <c r="Y2" s="33">
        <f>Distance!Y2*6</f>
        <v>69.924000000000007</v>
      </c>
      <c r="Z2" s="33">
        <f>Distance!Z2*6</f>
        <v>98.74799999999999</v>
      </c>
      <c r="AA2" s="33">
        <f>Distance!AA2*6</f>
        <v>137.02199999999999</v>
      </c>
      <c r="AB2" s="33">
        <f>Distance!AB2*6</f>
        <v>179.976</v>
      </c>
      <c r="AC2" s="33">
        <f>Distance!AC2*6</f>
        <v>651.822</v>
      </c>
      <c r="AD2" s="33">
        <f>Distance!AD2*6</f>
        <v>165.28200000000001</v>
      </c>
      <c r="AE2" s="33">
        <f>Distance!AE2*6</f>
        <v>108.13800000000001</v>
      </c>
      <c r="AF2" s="33">
        <f>Distance!AF2*6</f>
        <v>237.79199999999997</v>
      </c>
      <c r="AG2" s="33">
        <f>Distance!AG2*6</f>
        <v>37.536000000000001</v>
      </c>
      <c r="AH2" s="33">
        <f>Distance!AH2*6</f>
        <v>32.519999999999996</v>
      </c>
      <c r="AI2" s="33">
        <f>Distance!AI2*6</f>
        <v>36.57</v>
      </c>
      <c r="AJ2" s="33">
        <f>Distance!AJ2*6</f>
        <v>39.624000000000002</v>
      </c>
      <c r="AK2" s="33">
        <f>Distance!AK2*6</f>
        <v>37.230000000000004</v>
      </c>
      <c r="AL2" s="33">
        <f>Distance!AL2*6</f>
        <v>105.816</v>
      </c>
      <c r="AM2" s="33">
        <f>Distance!AM2*6</f>
        <v>125.62799999999999</v>
      </c>
      <c r="AN2" s="33">
        <f>Distance!AN2*6</f>
        <v>148.64400000000001</v>
      </c>
      <c r="AO2" s="33">
        <f>Distance!AO2*6</f>
        <v>10.59</v>
      </c>
      <c r="AP2" s="33">
        <f>Distance!AP2*6</f>
        <v>30.42</v>
      </c>
      <c r="AQ2" s="33">
        <f>Distance!AQ2*6</f>
        <v>66.197999999999993</v>
      </c>
      <c r="AR2" s="33">
        <f>Distance!AR2*6</f>
        <v>60.186000000000007</v>
      </c>
      <c r="AS2" s="33">
        <f>Distance!AS2*6</f>
        <v>75.06</v>
      </c>
      <c r="AT2" s="33">
        <f>Distance!AT2*6</f>
        <v>188.67600000000002</v>
      </c>
      <c r="AU2" s="33">
        <f>Distance!AU2*6</f>
        <v>655.35599999999999</v>
      </c>
      <c r="AV2" s="33">
        <f>Distance!AV2*6</f>
        <v>41.862000000000002</v>
      </c>
      <c r="AW2" s="33">
        <f>Distance!AW2*6</f>
        <v>14.357999999999999</v>
      </c>
      <c r="AX2" s="33">
        <f>Distance!AX2*6</f>
        <v>234.48</v>
      </c>
      <c r="AY2" s="33">
        <f>Distance!AY2*6</f>
        <v>151.07999999999998</v>
      </c>
      <c r="AZ2" s="33">
        <f>Distance!AZ2*6</f>
        <v>313.24799999999999</v>
      </c>
    </row>
    <row r="3" spans="1:52">
      <c r="A3">
        <v>1</v>
      </c>
      <c r="B3" s="33">
        <f>Distance!B3*6</f>
        <v>77.915999999999997</v>
      </c>
      <c r="C3" s="33">
        <v>9999</v>
      </c>
      <c r="D3" s="33">
        <f>Distance!D3*6</f>
        <v>100.85999999999999</v>
      </c>
      <c r="E3" s="33">
        <f>Distance!E3*6</f>
        <v>97.602000000000004</v>
      </c>
      <c r="F3" s="33">
        <f>Distance!F3*6</f>
        <v>94.77</v>
      </c>
      <c r="G3" s="33">
        <f>Distance!G3*6</f>
        <v>98.13</v>
      </c>
      <c r="H3" s="33">
        <f>Distance!H3*6</f>
        <v>90.06</v>
      </c>
      <c r="I3" s="33">
        <f>Distance!I3*6</f>
        <v>100.91399999999999</v>
      </c>
      <c r="J3" s="33">
        <f>Distance!J3*6</f>
        <v>110.50200000000001</v>
      </c>
      <c r="K3" s="33">
        <f>Distance!K3*6</f>
        <v>105.876</v>
      </c>
      <c r="L3" s="33">
        <f>Distance!L3*6</f>
        <v>120.87</v>
      </c>
      <c r="M3" s="33">
        <f>Distance!M3*6</f>
        <v>102.312</v>
      </c>
      <c r="N3" s="33">
        <f>Distance!N3*6</f>
        <v>100.73400000000001</v>
      </c>
      <c r="O3" s="33">
        <f>Distance!O3*6</f>
        <v>89.070000000000007</v>
      </c>
      <c r="P3" s="33">
        <f>Distance!P3*6</f>
        <v>94.823999999999998</v>
      </c>
      <c r="Q3" s="33">
        <f>Distance!Q3*6</f>
        <v>177.054</v>
      </c>
      <c r="R3" s="33">
        <f>Distance!R3*6</f>
        <v>110.56800000000001</v>
      </c>
      <c r="S3" s="33">
        <f>Distance!S3*6</f>
        <v>100.69200000000001</v>
      </c>
      <c r="T3" s="33">
        <f>Distance!T3*6</f>
        <v>84.521999999999991</v>
      </c>
      <c r="U3" s="33">
        <f>Distance!U3*6</f>
        <v>200.64</v>
      </c>
      <c r="V3" s="33">
        <f>Distance!V3*6</f>
        <v>94.823999999999998</v>
      </c>
      <c r="W3" s="33">
        <f>Distance!W3*6</f>
        <v>170.73599999999999</v>
      </c>
      <c r="X3" s="33">
        <f>Distance!X3*6</f>
        <v>67.176000000000002</v>
      </c>
      <c r="Y3" s="33">
        <f>Distance!Y3*6</f>
        <v>139.85999999999999</v>
      </c>
      <c r="Z3" s="33">
        <f>Distance!Z3*6</f>
        <v>168.684</v>
      </c>
      <c r="AA3" s="33">
        <f>Distance!AA3*6</f>
        <v>197.41200000000001</v>
      </c>
      <c r="AB3" s="33">
        <f>Distance!AB3*6</f>
        <v>249.91200000000001</v>
      </c>
      <c r="AC3" s="33">
        <f>Distance!AC3*6</f>
        <v>721.75800000000004</v>
      </c>
      <c r="AD3" s="33">
        <f>Distance!AD3*6</f>
        <v>235.21800000000002</v>
      </c>
      <c r="AE3" s="33">
        <f>Distance!AE3*6</f>
        <v>178.07399999999998</v>
      </c>
      <c r="AF3" s="33">
        <f>Distance!AF3*6</f>
        <v>307.72799999999995</v>
      </c>
      <c r="AG3" s="33">
        <f>Distance!AG3*6</f>
        <v>107.47199999999999</v>
      </c>
      <c r="AH3" s="33">
        <f>Distance!AH3*6</f>
        <v>102.456</v>
      </c>
      <c r="AI3" s="33">
        <f>Distance!AI3*6</f>
        <v>106.506</v>
      </c>
      <c r="AJ3" s="33">
        <f>Distance!AJ3*6</f>
        <v>109.56</v>
      </c>
      <c r="AK3" s="33">
        <f>Distance!AK3*6</f>
        <v>123.14400000000001</v>
      </c>
      <c r="AL3" s="33">
        <f>Distance!AL3*6</f>
        <v>175.75200000000001</v>
      </c>
      <c r="AM3" s="33">
        <f>Distance!AM3*6</f>
        <v>195.56400000000002</v>
      </c>
      <c r="AN3" s="33">
        <f>Distance!AN3*6</f>
        <v>218.57999999999998</v>
      </c>
      <c r="AO3" s="33">
        <f>Distance!AO3*6</f>
        <v>80.525999999999996</v>
      </c>
      <c r="AP3" s="33">
        <f>Distance!AP3*6</f>
        <v>100.35599999999999</v>
      </c>
      <c r="AQ3" s="33">
        <f>Distance!AQ3*6</f>
        <v>136.13400000000001</v>
      </c>
      <c r="AR3" s="33">
        <f>Distance!AR3*6</f>
        <v>130.12200000000001</v>
      </c>
      <c r="AS3" s="33">
        <f>Distance!AS3*6</f>
        <v>3.0659999999999998</v>
      </c>
      <c r="AT3" s="33">
        <f>Distance!AT3*6</f>
        <v>258.61199999999997</v>
      </c>
      <c r="AU3" s="33">
        <f>Distance!AU3*6</f>
        <v>725.29200000000003</v>
      </c>
      <c r="AV3" s="33">
        <f>Distance!AV3*6</f>
        <v>58.212000000000003</v>
      </c>
      <c r="AW3" s="33">
        <f>Distance!AW3*6</f>
        <v>71.496000000000009</v>
      </c>
      <c r="AX3" s="33">
        <f>Distance!AX3*6</f>
        <v>301.08600000000001</v>
      </c>
      <c r="AY3" s="33">
        <f>Distance!AY3*6</f>
        <v>221.01599999999999</v>
      </c>
      <c r="AZ3" s="33">
        <f>Distance!AZ3*6</f>
        <v>383.18399999999997</v>
      </c>
    </row>
    <row r="4" spans="1:52">
      <c r="A4">
        <v>2</v>
      </c>
      <c r="B4" s="33">
        <f>Distance!B4*6</f>
        <v>25.925999999999998</v>
      </c>
      <c r="C4" s="33">
        <f>Distance!C4*6</f>
        <v>99.798000000000002</v>
      </c>
      <c r="D4" s="33">
        <v>9999</v>
      </c>
      <c r="E4" s="33">
        <f>Distance!E4*6</f>
        <v>3.99</v>
      </c>
      <c r="F4" s="33">
        <f>Distance!F4*6</f>
        <v>31.602000000000004</v>
      </c>
      <c r="G4" s="33">
        <f>Distance!G4*6</f>
        <v>6.726</v>
      </c>
      <c r="H4" s="33">
        <f>Distance!H4*6</f>
        <v>17.285999999999998</v>
      </c>
      <c r="I4" s="33">
        <f>Distance!I4*6</f>
        <v>7.3020000000000005</v>
      </c>
      <c r="J4" s="33">
        <f>Distance!J4*6</f>
        <v>13.097999999999999</v>
      </c>
      <c r="K4" s="33">
        <f>Distance!K4*6</f>
        <v>14.861999999999998</v>
      </c>
      <c r="L4" s="33">
        <f>Distance!L4*6</f>
        <v>19.41</v>
      </c>
      <c r="M4" s="33">
        <f>Distance!M4*6</f>
        <v>4.008</v>
      </c>
      <c r="N4" s="33">
        <f>Distance!N4*6</f>
        <v>3.7919999999999998</v>
      </c>
      <c r="O4" s="33">
        <f>Distance!O4*6</f>
        <v>29.46</v>
      </c>
      <c r="P4" s="33">
        <f>Distance!P4*6</f>
        <v>33.834000000000003</v>
      </c>
      <c r="Q4" s="33">
        <f>Distance!Q4*6</f>
        <v>78.936000000000007</v>
      </c>
      <c r="R4" s="33">
        <f>Distance!R4*6</f>
        <v>15.468</v>
      </c>
      <c r="S4" s="33">
        <f>Distance!S4*6</f>
        <v>4.194</v>
      </c>
      <c r="T4" s="33">
        <f>Distance!T4*6</f>
        <v>19.607999999999997</v>
      </c>
      <c r="U4" s="33">
        <f>Distance!U4*6</f>
        <v>138.33600000000001</v>
      </c>
      <c r="V4" s="33">
        <f>Distance!V4*6</f>
        <v>33.834000000000003</v>
      </c>
      <c r="W4" s="33">
        <f>Distance!W4*6</f>
        <v>98.561999999999998</v>
      </c>
      <c r="X4" s="33">
        <f>Distance!X4*6</f>
        <v>35.531999999999996</v>
      </c>
      <c r="Y4" s="33">
        <f>Distance!Y4*6</f>
        <v>79.967999999999989</v>
      </c>
      <c r="Z4" s="33">
        <f>Distance!Z4*6</f>
        <v>106.38</v>
      </c>
      <c r="AA4" s="33">
        <f>Distance!AA4*6</f>
        <v>135.108</v>
      </c>
      <c r="AB4" s="33">
        <f>Distance!AB4*6</f>
        <v>180.024</v>
      </c>
      <c r="AC4" s="33">
        <f>Distance!AC4*6</f>
        <v>617.904</v>
      </c>
      <c r="AD4" s="33">
        <f>Distance!AD4*6</f>
        <v>172.91399999999999</v>
      </c>
      <c r="AE4" s="33">
        <f>Distance!AE4*6</f>
        <v>91.415999999999997</v>
      </c>
      <c r="AF4" s="33">
        <f>Distance!AF4*6</f>
        <v>245.42400000000004</v>
      </c>
      <c r="AG4" s="33">
        <f>Distance!AG4*6</f>
        <v>18.57</v>
      </c>
      <c r="AH4" s="33">
        <f>Distance!AH4*6</f>
        <v>8.49</v>
      </c>
      <c r="AI4" s="33">
        <f>Distance!AI4*6</f>
        <v>7.2780000000000005</v>
      </c>
      <c r="AJ4" s="33">
        <f>Distance!AJ4*6</f>
        <v>6.9420000000000002</v>
      </c>
      <c r="AK4" s="33">
        <f>Distance!AK4*6</f>
        <v>18.263999999999999</v>
      </c>
      <c r="AL4" s="33">
        <f>Distance!AL4*6</f>
        <v>105.66</v>
      </c>
      <c r="AM4" s="33">
        <f>Distance!AM4*6</f>
        <v>97.445999999999998</v>
      </c>
      <c r="AN4" s="33">
        <f>Distance!AN4*6</f>
        <v>152.934</v>
      </c>
      <c r="AO4" s="33">
        <f>Distance!AO4*6</f>
        <v>19.902000000000001</v>
      </c>
      <c r="AP4" s="33">
        <f>Distance!AP4*6</f>
        <v>18.864000000000001</v>
      </c>
      <c r="AQ4" s="33">
        <f>Distance!AQ4*6</f>
        <v>76.242000000000004</v>
      </c>
      <c r="AR4" s="33">
        <f>Distance!AR4*6</f>
        <v>78.39</v>
      </c>
      <c r="AS4" s="33">
        <f>Distance!AS4*6</f>
        <v>100.554</v>
      </c>
      <c r="AT4" s="33">
        <f>Distance!AT4*6</f>
        <v>188.52</v>
      </c>
      <c r="AU4" s="33">
        <f>Distance!AU4*6</f>
        <v>662.12400000000002</v>
      </c>
      <c r="AV4" s="33">
        <f>Distance!AV4*6</f>
        <v>67.356000000000009</v>
      </c>
      <c r="AW4" s="33">
        <f>Distance!AW4*6</f>
        <v>39.852000000000004</v>
      </c>
      <c r="AX4" s="33">
        <f>Distance!AX4*6</f>
        <v>238.78199999999998</v>
      </c>
      <c r="AY4" s="33">
        <f>Distance!AY4*6</f>
        <v>158.71200000000002</v>
      </c>
      <c r="AZ4" s="33">
        <f>Distance!AZ4*6</f>
        <v>296.52600000000001</v>
      </c>
    </row>
    <row r="5" spans="1:52">
      <c r="A5">
        <v>3</v>
      </c>
      <c r="B5" s="33">
        <f>Distance!B5*6</f>
        <v>22.571999999999999</v>
      </c>
      <c r="C5" s="33">
        <f>Distance!C5*6</f>
        <v>96.444000000000017</v>
      </c>
      <c r="D5" s="33">
        <f>Distance!D5*6</f>
        <v>3.8940000000000001</v>
      </c>
      <c r="E5" s="33">
        <v>9999</v>
      </c>
      <c r="F5" s="33">
        <f>Distance!F5*6</f>
        <v>29.213999999999999</v>
      </c>
      <c r="G5" s="33">
        <f>Distance!G5*6</f>
        <v>8.9820000000000011</v>
      </c>
      <c r="H5" s="33">
        <f>Distance!H5*6</f>
        <v>14.898</v>
      </c>
      <c r="I5" s="33">
        <f>Distance!I5*6</f>
        <v>3.9480000000000004</v>
      </c>
      <c r="J5" s="33">
        <f>Distance!J5*6</f>
        <v>12.629999999999999</v>
      </c>
      <c r="K5" s="33">
        <f>Distance!K5*6</f>
        <v>17.16</v>
      </c>
      <c r="L5" s="33">
        <f>Distance!L5*6</f>
        <v>22.146000000000001</v>
      </c>
      <c r="M5" s="33">
        <f>Distance!M5*6</f>
        <v>6.3059999999999992</v>
      </c>
      <c r="N5" s="33">
        <f>Distance!N5*6</f>
        <v>6.09</v>
      </c>
      <c r="O5" s="33">
        <f>Distance!O5*6</f>
        <v>26.106000000000002</v>
      </c>
      <c r="P5" s="33">
        <f>Distance!P5*6</f>
        <v>34.728000000000002</v>
      </c>
      <c r="Q5" s="33">
        <f>Distance!Q5*6</f>
        <v>106.69800000000001</v>
      </c>
      <c r="R5" s="33">
        <f>Distance!R5*6</f>
        <v>17.765999999999998</v>
      </c>
      <c r="S5" s="33">
        <f>Distance!S5*6</f>
        <v>5.0220000000000002</v>
      </c>
      <c r="T5" s="33">
        <f>Distance!T5*6</f>
        <v>16.254000000000001</v>
      </c>
      <c r="U5" s="33">
        <f>Distance!U5*6</f>
        <v>139.22999999999999</v>
      </c>
      <c r="V5" s="33">
        <f>Distance!V5*6</f>
        <v>34.728000000000002</v>
      </c>
      <c r="W5" s="33">
        <f>Distance!W5*6</f>
        <v>107.77199999999999</v>
      </c>
      <c r="X5" s="33">
        <f>Distance!X5*6</f>
        <v>32.178000000000004</v>
      </c>
      <c r="Y5" s="33">
        <f>Distance!Y5*6</f>
        <v>76.614000000000004</v>
      </c>
      <c r="Z5" s="33">
        <f>Distance!Z5*6</f>
        <v>107.274</v>
      </c>
      <c r="AA5" s="33">
        <f>Distance!AA5*6</f>
        <v>136.00200000000001</v>
      </c>
      <c r="AB5" s="33">
        <f>Distance!AB5*6</f>
        <v>176.67000000000002</v>
      </c>
      <c r="AC5" s="33">
        <f>Distance!AC5*6</f>
        <v>614.54999999999995</v>
      </c>
      <c r="AD5" s="33">
        <f>Distance!AD5*6</f>
        <v>173.80799999999999</v>
      </c>
      <c r="AE5" s="33">
        <f>Distance!AE5*6</f>
        <v>93.713999999999999</v>
      </c>
      <c r="AF5" s="33">
        <f>Distance!AF5*6</f>
        <v>246.31799999999998</v>
      </c>
      <c r="AG5" s="33">
        <f>Distance!AG5*6</f>
        <v>20.868000000000002</v>
      </c>
      <c r="AH5" s="33">
        <f>Distance!AH5*6</f>
        <v>10.788</v>
      </c>
      <c r="AI5" s="33">
        <f>Distance!AI5*6</f>
        <v>8.6340000000000003</v>
      </c>
      <c r="AJ5" s="33">
        <f>Distance!AJ5*6</f>
        <v>9.24</v>
      </c>
      <c r="AK5" s="33">
        <f>Distance!AK5*6</f>
        <v>20.562000000000001</v>
      </c>
      <c r="AL5" s="33">
        <f>Distance!AL5*6</f>
        <v>102.30599999999998</v>
      </c>
      <c r="AM5" s="33">
        <f>Distance!AM5*6</f>
        <v>125.208</v>
      </c>
      <c r="AN5" s="33">
        <f>Distance!AN5*6</f>
        <v>149.57999999999998</v>
      </c>
      <c r="AO5" s="33">
        <f>Distance!AO5*6</f>
        <v>16.548000000000002</v>
      </c>
      <c r="AP5" s="33">
        <f>Distance!AP5*6</f>
        <v>19.758000000000003</v>
      </c>
      <c r="AQ5" s="33">
        <f>Distance!AQ5*6</f>
        <v>72.888000000000005</v>
      </c>
      <c r="AR5" s="33">
        <f>Distance!AR5*6</f>
        <v>78.26400000000001</v>
      </c>
      <c r="AS5" s="33">
        <f>Distance!AS5*6</f>
        <v>97.199999999999989</v>
      </c>
      <c r="AT5" s="33">
        <f>Distance!AT5*6</f>
        <v>185.166</v>
      </c>
      <c r="AU5" s="33">
        <f>Distance!AU5*6</f>
        <v>618.08399999999995</v>
      </c>
      <c r="AV5" s="33">
        <f>Distance!AV5*6</f>
        <v>64.001999999999995</v>
      </c>
      <c r="AW5" s="33">
        <f>Distance!AW5*6</f>
        <v>36.498000000000005</v>
      </c>
      <c r="AX5" s="33">
        <f>Distance!AX5*6</f>
        <v>239.67599999999999</v>
      </c>
      <c r="AY5" s="33">
        <f>Distance!AY5*6</f>
        <v>159.60599999999999</v>
      </c>
      <c r="AZ5" s="33">
        <f>Distance!AZ5*6</f>
        <v>298.82400000000001</v>
      </c>
    </row>
    <row r="6" spans="1:52">
      <c r="A6">
        <v>4</v>
      </c>
      <c r="B6" s="33">
        <f>Distance!B6*6</f>
        <v>21.222000000000001</v>
      </c>
      <c r="C6" s="33">
        <f>Distance!C6*6</f>
        <v>95.093999999999994</v>
      </c>
      <c r="D6" s="33">
        <f>Distance!D6*6</f>
        <v>31.571999999999996</v>
      </c>
      <c r="E6" s="33">
        <f>Distance!E6*6</f>
        <v>28.314</v>
      </c>
      <c r="F6" s="33">
        <v>9999</v>
      </c>
      <c r="G6" s="33">
        <f>Distance!G6*6</f>
        <v>37.284000000000006</v>
      </c>
      <c r="H6" s="33">
        <f>Distance!H6*6</f>
        <v>16.481999999999999</v>
      </c>
      <c r="I6" s="33">
        <f>Distance!I6*6</f>
        <v>31.619999999999997</v>
      </c>
      <c r="J6" s="33">
        <f>Distance!J6*6</f>
        <v>39.911999999999999</v>
      </c>
      <c r="K6" s="33">
        <f>Distance!K6*6</f>
        <v>45.03</v>
      </c>
      <c r="L6" s="33">
        <f>Distance!L6*6</f>
        <v>44.849999999999994</v>
      </c>
      <c r="M6" s="33">
        <f>Distance!M6*6</f>
        <v>33.983999999999995</v>
      </c>
      <c r="N6" s="33">
        <f>Distance!N6*6</f>
        <v>31.986000000000004</v>
      </c>
      <c r="O6" s="33">
        <f>Distance!O6*6</f>
        <v>35.862000000000002</v>
      </c>
      <c r="P6" s="33">
        <f>Distance!P6*6</f>
        <v>41.616</v>
      </c>
      <c r="Q6" s="33">
        <f>Distance!Q6*6</f>
        <v>123.84599999999999</v>
      </c>
      <c r="R6" s="33">
        <f>Distance!R6*6</f>
        <v>48.300000000000004</v>
      </c>
      <c r="S6" s="33">
        <f>Distance!S6*6</f>
        <v>31.404</v>
      </c>
      <c r="T6" s="33">
        <f>Distance!T6*6</f>
        <v>21.594000000000001</v>
      </c>
      <c r="U6" s="33">
        <f>Distance!U6*6</f>
        <v>147.43199999999999</v>
      </c>
      <c r="V6" s="33">
        <f>Distance!V6*6</f>
        <v>41.616</v>
      </c>
      <c r="W6" s="33">
        <f>Distance!W6*6</f>
        <v>117.52800000000001</v>
      </c>
      <c r="X6" s="33">
        <f>Distance!X6*6</f>
        <v>28.458000000000002</v>
      </c>
      <c r="Y6" s="33">
        <f>Distance!Y6*6</f>
        <v>55.787999999999997</v>
      </c>
      <c r="Z6" s="33">
        <f>Distance!Z6*6</f>
        <v>115.476</v>
      </c>
      <c r="AA6" s="33">
        <f>Distance!AA6*6</f>
        <v>144.20400000000001</v>
      </c>
      <c r="AB6" s="33">
        <f>Distance!AB6*6</f>
        <v>165.84</v>
      </c>
      <c r="AC6" s="33">
        <f>Distance!AC6*6</f>
        <v>637.68600000000004</v>
      </c>
      <c r="AD6" s="33">
        <f>Distance!AD6*6</f>
        <v>182.01</v>
      </c>
      <c r="AE6" s="33">
        <f>Distance!AE6*6</f>
        <v>124.866</v>
      </c>
      <c r="AF6" s="33">
        <f>Distance!AF6*6</f>
        <v>254.52</v>
      </c>
      <c r="AG6" s="33">
        <f>Distance!AG6*6</f>
        <v>46.625999999999998</v>
      </c>
      <c r="AH6" s="33">
        <f>Distance!AH6*6</f>
        <v>41.61</v>
      </c>
      <c r="AI6" s="33">
        <f>Distance!AI6*6</f>
        <v>35.915999999999997</v>
      </c>
      <c r="AJ6" s="33">
        <f>Distance!AJ6*6</f>
        <v>38.97</v>
      </c>
      <c r="AK6" s="33">
        <f>Distance!AK6*6</f>
        <v>46.32</v>
      </c>
      <c r="AL6" s="33">
        <f>Distance!AL6*6</f>
        <v>91.679999999999993</v>
      </c>
      <c r="AM6" s="33">
        <f>Distance!AM6*6</f>
        <v>142.35599999999999</v>
      </c>
      <c r="AN6" s="33">
        <f>Distance!AN6*6</f>
        <v>193.16400000000002</v>
      </c>
      <c r="AO6" s="33">
        <f>Distance!AO6*6</f>
        <v>20.34</v>
      </c>
      <c r="AP6" s="33">
        <f>Distance!AP6*6</f>
        <v>47.147999999999996</v>
      </c>
      <c r="AQ6" s="33">
        <f>Distance!AQ6*6</f>
        <v>52.061999999999998</v>
      </c>
      <c r="AR6" s="33">
        <f>Distance!AR6*6</f>
        <v>76.914000000000001</v>
      </c>
      <c r="AS6" s="33">
        <f>Distance!AS6*6</f>
        <v>95.85</v>
      </c>
      <c r="AT6" s="33">
        <f>Distance!AT6*6</f>
        <v>174.54</v>
      </c>
      <c r="AU6" s="33">
        <f>Distance!AU6*6</f>
        <v>641.22</v>
      </c>
      <c r="AV6" s="33">
        <f>Distance!AV6*6</f>
        <v>62.652000000000001</v>
      </c>
      <c r="AW6" s="33">
        <f>Distance!AW6*6</f>
        <v>21.366</v>
      </c>
      <c r="AX6" s="33">
        <f>Distance!AX6*6</f>
        <v>247.87800000000001</v>
      </c>
      <c r="AY6" s="33">
        <f>Distance!AY6*6</f>
        <v>167.80799999999999</v>
      </c>
      <c r="AZ6" s="33">
        <f>Distance!AZ6*6</f>
        <v>329.976</v>
      </c>
    </row>
    <row r="7" spans="1:52">
      <c r="A7">
        <v>5</v>
      </c>
      <c r="B7" s="33">
        <f>Distance!B7*6</f>
        <v>25.788</v>
      </c>
      <c r="C7" s="33">
        <f>Distance!C7*6</f>
        <v>99.66</v>
      </c>
      <c r="D7" s="33">
        <f>Distance!D7*6</f>
        <v>6.726</v>
      </c>
      <c r="E7" s="33">
        <f>Distance!E7*6</f>
        <v>11.448</v>
      </c>
      <c r="F7" s="33">
        <f>Distance!F7*6</f>
        <v>38.153999999999996</v>
      </c>
      <c r="G7" s="33">
        <v>9999</v>
      </c>
      <c r="H7" s="33">
        <f>Distance!H7*6</f>
        <v>23.838000000000001</v>
      </c>
      <c r="I7" s="33">
        <f>Distance!I7*6</f>
        <v>14.76</v>
      </c>
      <c r="J7" s="33">
        <f>Distance!J7*6</f>
        <v>14.622</v>
      </c>
      <c r="K7" s="33">
        <f>Distance!K7*6</f>
        <v>12.587999999999999</v>
      </c>
      <c r="L7" s="33">
        <f>Distance!L7*6</f>
        <v>13.361999999999998</v>
      </c>
      <c r="M7" s="33">
        <f>Distance!M7*6</f>
        <v>3.6719999999999997</v>
      </c>
      <c r="N7" s="33">
        <f>Distance!N7*6</f>
        <v>3.3660000000000005</v>
      </c>
      <c r="O7" s="33">
        <f>Distance!O7*6</f>
        <v>29.321999999999996</v>
      </c>
      <c r="P7" s="33">
        <f>Distance!P7*6</f>
        <v>30.804000000000002</v>
      </c>
      <c r="Q7" s="33">
        <f>Distance!Q7*6</f>
        <v>101.85000000000001</v>
      </c>
      <c r="R7" s="33">
        <f>Distance!R7*6</f>
        <v>16.146000000000001</v>
      </c>
      <c r="S7" s="33">
        <f>Distance!S7*6</f>
        <v>4.74</v>
      </c>
      <c r="T7" s="33">
        <f>Distance!T7*6</f>
        <v>19.47</v>
      </c>
      <c r="U7" s="33">
        <f>Distance!U7*6</f>
        <v>135.30599999999998</v>
      </c>
      <c r="V7" s="33">
        <f>Distance!V7*6</f>
        <v>30.804000000000002</v>
      </c>
      <c r="W7" s="33">
        <f>Distance!W7*6</f>
        <v>95.532000000000011</v>
      </c>
      <c r="X7" s="33">
        <f>Distance!X7*6</f>
        <v>35.393999999999998</v>
      </c>
      <c r="Y7" s="33">
        <f>Distance!Y7*6</f>
        <v>83.244</v>
      </c>
      <c r="Z7" s="33">
        <f>Distance!Z7*6</f>
        <v>103.35000000000001</v>
      </c>
      <c r="AA7" s="33">
        <f>Distance!AA7*6</f>
        <v>132.078</v>
      </c>
      <c r="AB7" s="33">
        <f>Distance!AB7*6</f>
        <v>189.88800000000001</v>
      </c>
      <c r="AC7" s="33">
        <f>Distance!AC7*6</f>
        <v>627.76800000000003</v>
      </c>
      <c r="AD7" s="33">
        <f>Distance!AD7*6</f>
        <v>169.88400000000001</v>
      </c>
      <c r="AE7" s="33">
        <f>Distance!AE7*6</f>
        <v>85.367999999999995</v>
      </c>
      <c r="AF7" s="33">
        <f>Distance!AF7*6</f>
        <v>242.39400000000001</v>
      </c>
      <c r="AG7" s="33">
        <f>Distance!AG7*6</f>
        <v>16.295999999999999</v>
      </c>
      <c r="AH7" s="33">
        <f>Distance!AH7*6</f>
        <v>9.1679999999999993</v>
      </c>
      <c r="AI7" s="33">
        <f>Distance!AI7*6</f>
        <v>11.16</v>
      </c>
      <c r="AJ7" s="33">
        <f>Distance!AJ7*6</f>
        <v>8.4660000000000011</v>
      </c>
      <c r="AK7" s="33">
        <f>Distance!AK7*6</f>
        <v>15.27</v>
      </c>
      <c r="AL7" s="33">
        <f>Distance!AL7*6</f>
        <v>115.524</v>
      </c>
      <c r="AM7" s="33">
        <f>Distance!AM7*6</f>
        <v>120.35999999999999</v>
      </c>
      <c r="AN7" s="33">
        <f>Distance!AN7*6</f>
        <v>143.376</v>
      </c>
      <c r="AO7" s="33">
        <f>Distance!AO7*6</f>
        <v>19.763999999999999</v>
      </c>
      <c r="AP7" s="33">
        <f>Distance!AP7*6</f>
        <v>15.834</v>
      </c>
      <c r="AQ7" s="33">
        <f>Distance!AQ7*6</f>
        <v>79.518000000000001</v>
      </c>
      <c r="AR7" s="33">
        <f>Distance!AR7*6</f>
        <v>75.36</v>
      </c>
      <c r="AS7" s="33">
        <f>Distance!AS7*6</f>
        <v>100.416</v>
      </c>
      <c r="AT7" s="33">
        <f>Distance!AT7*6</f>
        <v>198.38400000000001</v>
      </c>
      <c r="AU7" s="33">
        <f>Distance!AU7*6</f>
        <v>631.30200000000002</v>
      </c>
      <c r="AV7" s="33">
        <f>Distance!AV7*6</f>
        <v>67.217999999999989</v>
      </c>
      <c r="AW7" s="33">
        <f>Distance!AW7*6</f>
        <v>39.713999999999999</v>
      </c>
      <c r="AX7" s="33">
        <f>Distance!AX7*6</f>
        <v>235.75200000000001</v>
      </c>
      <c r="AY7" s="33">
        <f>Distance!AY7*6</f>
        <v>155.68199999999999</v>
      </c>
      <c r="AZ7" s="33">
        <f>Distance!AZ7*6</f>
        <v>290.47799999999995</v>
      </c>
    </row>
    <row r="8" spans="1:52">
      <c r="A8">
        <v>6</v>
      </c>
      <c r="B8" s="33">
        <f>Distance!B8*6</f>
        <v>16.457999999999998</v>
      </c>
      <c r="C8" s="33">
        <f>Distance!C8*6</f>
        <v>90.33</v>
      </c>
      <c r="D8" s="33">
        <f>Distance!D8*6</f>
        <v>16.788</v>
      </c>
      <c r="E8" s="33">
        <f>Distance!E8*6</f>
        <v>13.53</v>
      </c>
      <c r="F8" s="33">
        <f>Distance!F8*6</f>
        <v>16.013999999999999</v>
      </c>
      <c r="G8" s="33">
        <f>Distance!G8*6</f>
        <v>22.5</v>
      </c>
      <c r="H8" s="33">
        <v>9999</v>
      </c>
      <c r="I8" s="33">
        <f>Distance!I8*6</f>
        <v>16.835999999999999</v>
      </c>
      <c r="J8" s="33">
        <f>Distance!J8*6</f>
        <v>25.128</v>
      </c>
      <c r="K8" s="33">
        <f>Distance!K8*6</f>
        <v>30.246000000000002</v>
      </c>
      <c r="L8" s="33">
        <f>Distance!L8*6</f>
        <v>30.066000000000003</v>
      </c>
      <c r="M8" s="33">
        <f>Distance!M8*6</f>
        <v>19.200000000000003</v>
      </c>
      <c r="N8" s="33">
        <f>Distance!N8*6</f>
        <v>17.201999999999998</v>
      </c>
      <c r="O8" s="33">
        <f>Distance!O8*6</f>
        <v>21.216000000000001</v>
      </c>
      <c r="P8" s="33">
        <f>Distance!P8*6</f>
        <v>36.852000000000004</v>
      </c>
      <c r="Q8" s="33">
        <f>Distance!Q8*6</f>
        <v>109.19999999999999</v>
      </c>
      <c r="R8" s="33">
        <f>Distance!R8*6</f>
        <v>33.516000000000005</v>
      </c>
      <c r="S8" s="33">
        <f>Distance!S8*6</f>
        <v>16.62</v>
      </c>
      <c r="T8" s="33">
        <f>Distance!T8*6</f>
        <v>6.8100000000000005</v>
      </c>
      <c r="U8" s="33">
        <f>Distance!U8*6</f>
        <v>142.66800000000001</v>
      </c>
      <c r="V8" s="33">
        <f>Distance!V8*6</f>
        <v>36.852000000000004</v>
      </c>
      <c r="W8" s="33">
        <f>Distance!W8*6</f>
        <v>102.88199999999999</v>
      </c>
      <c r="X8" s="33">
        <f>Distance!X8*6</f>
        <v>26.064</v>
      </c>
      <c r="Y8" s="33">
        <f>Distance!Y8*6</f>
        <v>61.103999999999999</v>
      </c>
      <c r="Z8" s="33">
        <f>Distance!Z8*6</f>
        <v>110.71200000000002</v>
      </c>
      <c r="AA8" s="33">
        <f>Distance!AA8*6</f>
        <v>139.44</v>
      </c>
      <c r="AB8" s="33">
        <f>Distance!AB8*6</f>
        <v>171.15600000000001</v>
      </c>
      <c r="AC8" s="33">
        <f>Distance!AC8*6</f>
        <v>643.00199999999995</v>
      </c>
      <c r="AD8" s="33">
        <f>Distance!AD8*6</f>
        <v>177.24600000000001</v>
      </c>
      <c r="AE8" s="33">
        <f>Distance!AE8*6</f>
        <v>110.22</v>
      </c>
      <c r="AF8" s="33">
        <f>Distance!AF8*6</f>
        <v>249.75599999999997</v>
      </c>
      <c r="AG8" s="33">
        <f>Distance!AG8*6</f>
        <v>31.842000000000002</v>
      </c>
      <c r="AH8" s="33">
        <f>Distance!AH8*6</f>
        <v>26.826000000000001</v>
      </c>
      <c r="AI8" s="33">
        <f>Distance!AI8*6</f>
        <v>21.131999999999998</v>
      </c>
      <c r="AJ8" s="33">
        <f>Distance!AJ8*6</f>
        <v>24.186</v>
      </c>
      <c r="AK8" s="33">
        <f>Distance!AK8*6</f>
        <v>31.536000000000001</v>
      </c>
      <c r="AL8" s="33">
        <f>Distance!AL8*6</f>
        <v>96.996000000000009</v>
      </c>
      <c r="AM8" s="33">
        <f>Distance!AM8*6</f>
        <v>127.71000000000001</v>
      </c>
      <c r="AN8" s="33">
        <f>Distance!AN8*6</f>
        <v>150.726</v>
      </c>
      <c r="AO8" s="33">
        <f>Distance!AO8*6</f>
        <v>11.658000000000001</v>
      </c>
      <c r="AP8" s="33">
        <f>Distance!AP8*6</f>
        <v>26.064</v>
      </c>
      <c r="AQ8" s="33">
        <f>Distance!AQ8*6</f>
        <v>57.378</v>
      </c>
      <c r="AR8" s="33">
        <f>Distance!AR8*6</f>
        <v>72.150000000000006</v>
      </c>
      <c r="AS8" s="33">
        <f>Distance!AS8*6</f>
        <v>91.085999999999999</v>
      </c>
      <c r="AT8" s="33">
        <f>Distance!AT8*6</f>
        <v>179.85599999999999</v>
      </c>
      <c r="AU8" s="33">
        <f>Distance!AU8*6</f>
        <v>646.53600000000006</v>
      </c>
      <c r="AV8" s="33">
        <f>Distance!AV8*6</f>
        <v>57.887999999999998</v>
      </c>
      <c r="AW8" s="33">
        <f>Distance!AW8*6</f>
        <v>30.384</v>
      </c>
      <c r="AX8" s="33">
        <f>Distance!AX8*6</f>
        <v>243.11399999999998</v>
      </c>
      <c r="AY8" s="33">
        <f>Distance!AY8*6</f>
        <v>169.23</v>
      </c>
      <c r="AZ8" s="33">
        <f>Distance!AZ8*6</f>
        <v>315.33</v>
      </c>
    </row>
    <row r="9" spans="1:52">
      <c r="A9">
        <v>7</v>
      </c>
      <c r="B9" s="33">
        <f>Distance!B9*6</f>
        <v>24.173999999999999</v>
      </c>
      <c r="C9" s="33">
        <f>Distance!C9*6</f>
        <v>98.046000000000006</v>
      </c>
      <c r="D9" s="33">
        <f>Distance!D9*6</f>
        <v>5.4960000000000004</v>
      </c>
      <c r="E9" s="33">
        <f>Distance!E9*6</f>
        <v>2.238</v>
      </c>
      <c r="F9" s="33">
        <f>Distance!F9*6</f>
        <v>28.614000000000001</v>
      </c>
      <c r="G9" s="33">
        <f>Distance!G9*6</f>
        <v>10.584</v>
      </c>
      <c r="H9" s="33">
        <f>Distance!H9*6</f>
        <v>14.298</v>
      </c>
      <c r="I9" s="33">
        <v>9999</v>
      </c>
      <c r="J9" s="33">
        <f>Distance!J9*6</f>
        <v>11.076000000000001</v>
      </c>
      <c r="K9" s="33">
        <f>Distance!K9*6</f>
        <v>18.762</v>
      </c>
      <c r="L9" s="33">
        <f>Distance!L9*6</f>
        <v>23.31</v>
      </c>
      <c r="M9" s="33">
        <f>Distance!M9*6</f>
        <v>7.9080000000000004</v>
      </c>
      <c r="N9" s="33">
        <f>Distance!N9*6</f>
        <v>7.6920000000000002</v>
      </c>
      <c r="O9" s="33">
        <f>Distance!O9*6</f>
        <v>27.708000000000002</v>
      </c>
      <c r="P9" s="33">
        <f>Distance!P9*6</f>
        <v>36.33</v>
      </c>
      <c r="Q9" s="33">
        <f>Distance!Q9*6</f>
        <v>105.14400000000001</v>
      </c>
      <c r="R9" s="33">
        <f>Distance!R9*6</f>
        <v>19.464000000000002</v>
      </c>
      <c r="S9" s="33">
        <f>Distance!S9*6</f>
        <v>6.6000000000000005</v>
      </c>
      <c r="T9" s="33">
        <f>Distance!T9*6</f>
        <v>16.782</v>
      </c>
      <c r="U9" s="33">
        <f>Distance!U9*6</f>
        <v>140.83199999999999</v>
      </c>
      <c r="V9" s="33">
        <f>Distance!V9*6</f>
        <v>36.33</v>
      </c>
      <c r="W9" s="33">
        <f>Distance!W9*6</f>
        <v>109.374</v>
      </c>
      <c r="X9" s="33">
        <f>Distance!X9*6</f>
        <v>33.78</v>
      </c>
      <c r="Y9" s="33">
        <f>Distance!Y9*6</f>
        <v>75.06</v>
      </c>
      <c r="Z9" s="33">
        <f>Distance!Z9*6</f>
        <v>108.876</v>
      </c>
      <c r="AA9" s="33">
        <f>Distance!AA9*6</f>
        <v>137.60400000000001</v>
      </c>
      <c r="AB9" s="33">
        <f>Distance!AB9*6</f>
        <v>175.11599999999999</v>
      </c>
      <c r="AC9" s="33">
        <f>Distance!AC9*6</f>
        <v>612.99599999999998</v>
      </c>
      <c r="AD9" s="33">
        <f>Distance!AD9*6</f>
        <v>175.41</v>
      </c>
      <c r="AE9" s="33">
        <f>Distance!AE9*6</f>
        <v>95.316000000000003</v>
      </c>
      <c r="AF9" s="33">
        <f>Distance!AF9*6</f>
        <v>247.92000000000002</v>
      </c>
      <c r="AG9" s="33">
        <f>Distance!AG9*6</f>
        <v>24.306000000000001</v>
      </c>
      <c r="AH9" s="33">
        <f>Distance!AH9*6</f>
        <v>12.39</v>
      </c>
      <c r="AI9" s="33">
        <f>Distance!AI9*6</f>
        <v>7.08</v>
      </c>
      <c r="AJ9" s="33">
        <f>Distance!AJ9*6</f>
        <v>10.134</v>
      </c>
      <c r="AK9" s="33">
        <f>Distance!AK9*6</f>
        <v>24</v>
      </c>
      <c r="AL9" s="33">
        <f>Distance!AL9*6</f>
        <v>100.75200000000001</v>
      </c>
      <c r="AM9" s="33">
        <f>Distance!AM9*6</f>
        <v>123.65400000000001</v>
      </c>
      <c r="AN9" s="33">
        <f>Distance!AN9*6</f>
        <v>148.02600000000001</v>
      </c>
      <c r="AO9" s="33">
        <f>Distance!AO9*6</f>
        <v>18.149999999999999</v>
      </c>
      <c r="AP9" s="33">
        <f>Distance!AP9*6</f>
        <v>21.36</v>
      </c>
      <c r="AQ9" s="33">
        <f>Distance!AQ9*6</f>
        <v>68.135999999999996</v>
      </c>
      <c r="AR9" s="33">
        <f>Distance!AR9*6</f>
        <v>79.866</v>
      </c>
      <c r="AS9" s="33">
        <f>Distance!AS9*6</f>
        <v>98.801999999999992</v>
      </c>
      <c r="AT9" s="33">
        <f>Distance!AT9*6</f>
        <v>183.61199999999999</v>
      </c>
      <c r="AU9" s="33">
        <f>Distance!AU9*6</f>
        <v>616.53</v>
      </c>
      <c r="AV9" s="33">
        <f>Distance!AV9*6</f>
        <v>65.603999999999999</v>
      </c>
      <c r="AW9" s="33">
        <f>Distance!AW9*6</f>
        <v>38.099999999999994</v>
      </c>
      <c r="AX9" s="33">
        <f>Distance!AX9*6</f>
        <v>241.27800000000002</v>
      </c>
      <c r="AY9" s="33">
        <f>Distance!AY9*6</f>
        <v>161.208</v>
      </c>
      <c r="AZ9" s="33">
        <f>Distance!AZ9*6</f>
        <v>300.42599999999999</v>
      </c>
    </row>
    <row r="10" spans="1:52">
      <c r="A10">
        <v>8</v>
      </c>
      <c r="B10" s="33">
        <f>Distance!B10*6</f>
        <v>28.68</v>
      </c>
      <c r="C10" s="33">
        <f>Distance!C10*6</f>
        <v>102.55199999999999</v>
      </c>
      <c r="D10" s="33">
        <f>Distance!D10*6</f>
        <v>13.71</v>
      </c>
      <c r="E10" s="33">
        <f>Distance!E10*6</f>
        <v>9.2639999999999993</v>
      </c>
      <c r="F10" s="33">
        <f>Distance!F10*6</f>
        <v>31.518000000000001</v>
      </c>
      <c r="G10" s="33">
        <f>Distance!G10*6</f>
        <v>17.591999999999999</v>
      </c>
      <c r="H10" s="33">
        <f>Distance!H10*6</f>
        <v>17.201999999999998</v>
      </c>
      <c r="I10" s="33">
        <f>Distance!I10*6</f>
        <v>8.8320000000000007</v>
      </c>
      <c r="J10" s="33">
        <v>9999</v>
      </c>
      <c r="K10" s="33">
        <f>Distance!K10*6</f>
        <v>20.573999999999998</v>
      </c>
      <c r="L10" s="33">
        <f>Distance!L10*6</f>
        <v>27.911999999999999</v>
      </c>
      <c r="M10" s="33">
        <f>Distance!M10*6</f>
        <v>14.874000000000001</v>
      </c>
      <c r="N10" s="33">
        <f>Distance!N10*6</f>
        <v>14.658000000000001</v>
      </c>
      <c r="O10" s="33">
        <f>Distance!O10*6</f>
        <v>32.213999999999999</v>
      </c>
      <c r="P10" s="33">
        <f>Distance!P10*6</f>
        <v>44.603999999999999</v>
      </c>
      <c r="Q10" s="33">
        <f>Distance!Q10*6</f>
        <v>96.917999999999992</v>
      </c>
      <c r="R10" s="33">
        <f>Distance!R10*6</f>
        <v>19.164000000000001</v>
      </c>
      <c r="S10" s="33">
        <f>Distance!S10*6</f>
        <v>15.059999999999999</v>
      </c>
      <c r="T10" s="33">
        <f>Distance!T10*6</f>
        <v>19.686</v>
      </c>
      <c r="U10" s="33">
        <f>Distance!U10*6</f>
        <v>149.10599999999999</v>
      </c>
      <c r="V10" s="33">
        <f>Distance!V10*6</f>
        <v>44.603999999999999</v>
      </c>
      <c r="W10" s="33">
        <f>Distance!W10*6</f>
        <v>113.88</v>
      </c>
      <c r="X10" s="33">
        <f>Distance!X10*6</f>
        <v>38.286000000000001</v>
      </c>
      <c r="Y10" s="33">
        <f>Distance!Y10*6</f>
        <v>67.158000000000001</v>
      </c>
      <c r="Z10" s="33">
        <f>Distance!Z10*6</f>
        <v>117.14999999999999</v>
      </c>
      <c r="AA10" s="33">
        <f>Distance!AA10*6</f>
        <v>145.87799999999999</v>
      </c>
      <c r="AB10" s="33">
        <f>Distance!AB10*6</f>
        <v>167.214</v>
      </c>
      <c r="AC10" s="33">
        <f>Distance!AC10*6</f>
        <v>605.09400000000005</v>
      </c>
      <c r="AD10" s="33">
        <f>Distance!AD10*6</f>
        <v>183.684</v>
      </c>
      <c r="AE10" s="33">
        <f>Distance!AE10*6</f>
        <v>120.60599999999999</v>
      </c>
      <c r="AF10" s="33">
        <f>Distance!AF10*6</f>
        <v>256.19399999999996</v>
      </c>
      <c r="AG10" s="33">
        <f>Distance!AG10*6</f>
        <v>24.006</v>
      </c>
      <c r="AH10" s="33">
        <f>Distance!AH10*6</f>
        <v>18.096</v>
      </c>
      <c r="AI10" s="33">
        <f>Distance!AI10*6</f>
        <v>6.7799999999999994</v>
      </c>
      <c r="AJ10" s="33">
        <f>Distance!AJ10*6</f>
        <v>9.8339999999999996</v>
      </c>
      <c r="AK10" s="33">
        <f>Distance!AK10*6</f>
        <v>23.700000000000003</v>
      </c>
      <c r="AL10" s="33">
        <f>Distance!AL10*6</f>
        <v>92.85</v>
      </c>
      <c r="AM10" s="33">
        <f>Distance!AM10*6</f>
        <v>115.428</v>
      </c>
      <c r="AN10" s="33">
        <f>Distance!AN10*6</f>
        <v>139.80000000000001</v>
      </c>
      <c r="AO10" s="33">
        <f>Distance!AO10*6</f>
        <v>22.655999999999999</v>
      </c>
      <c r="AP10" s="33">
        <f>Distance!AP10*6</f>
        <v>29.634</v>
      </c>
      <c r="AQ10" s="33">
        <f>Distance!AQ10*6</f>
        <v>63.431999999999995</v>
      </c>
      <c r="AR10" s="33">
        <f>Distance!AR10*6</f>
        <v>84.372</v>
      </c>
      <c r="AS10" s="33">
        <f>Distance!AS10*6</f>
        <v>103.30799999999999</v>
      </c>
      <c r="AT10" s="33">
        <f>Distance!AT10*6</f>
        <v>175.71</v>
      </c>
      <c r="AU10" s="33">
        <f>Distance!AU10*6</f>
        <v>608.62800000000004</v>
      </c>
      <c r="AV10" s="33">
        <f>Distance!AV10*6</f>
        <v>70.11</v>
      </c>
      <c r="AW10" s="33">
        <f>Distance!AW10*6</f>
        <v>42.606000000000002</v>
      </c>
      <c r="AX10" s="33">
        <f>Distance!AX10*6</f>
        <v>249.55199999999999</v>
      </c>
      <c r="AY10" s="33">
        <f>Distance!AY10*6</f>
        <v>169.482</v>
      </c>
      <c r="AZ10" s="33">
        <f>Distance!AZ10*6</f>
        <v>326.32799999999997</v>
      </c>
    </row>
    <row r="11" spans="1:52">
      <c r="A11">
        <v>9</v>
      </c>
      <c r="B11" s="33">
        <f>Distance!B11*6</f>
        <v>40.589999999999996</v>
      </c>
      <c r="C11" s="33">
        <f>Distance!C11*6</f>
        <v>114.46200000000002</v>
      </c>
      <c r="D11" s="33">
        <f>Distance!D11*6</f>
        <v>11.568</v>
      </c>
      <c r="E11" s="33">
        <f>Distance!E11*6</f>
        <v>13.962</v>
      </c>
      <c r="F11" s="33">
        <f>Distance!F11*6</f>
        <v>43.428000000000004</v>
      </c>
      <c r="G11" s="33">
        <f>Distance!G11*6</f>
        <v>14.964000000000002</v>
      </c>
      <c r="H11" s="33">
        <f>Distance!H11*6</f>
        <v>29.112000000000002</v>
      </c>
      <c r="I11" s="33">
        <f>Distance!I11*6</f>
        <v>17.274000000000001</v>
      </c>
      <c r="J11" s="33">
        <f>Distance!J11*6</f>
        <v>14.256</v>
      </c>
      <c r="K11" s="33">
        <v>9999</v>
      </c>
      <c r="L11" s="33">
        <f>Distance!L11*6</f>
        <v>15.414</v>
      </c>
      <c r="M11" s="33">
        <f>Distance!M11*6</f>
        <v>9.8159999999999989</v>
      </c>
      <c r="N11" s="33">
        <f>Distance!N11*6</f>
        <v>11.904</v>
      </c>
      <c r="O11" s="33">
        <f>Distance!O11*6</f>
        <v>44.124000000000002</v>
      </c>
      <c r="P11" s="33">
        <f>Distance!P11*6</f>
        <v>43.536000000000001</v>
      </c>
      <c r="Q11" s="33">
        <f>Distance!Q11*6</f>
        <v>71.921999999999997</v>
      </c>
      <c r="R11" s="33">
        <f>Distance!R11*6</f>
        <v>10.356</v>
      </c>
      <c r="S11" s="33">
        <f>Distance!S11*6</f>
        <v>12.917999999999999</v>
      </c>
      <c r="T11" s="33">
        <f>Distance!T11*6</f>
        <v>31.596</v>
      </c>
      <c r="U11" s="33">
        <f>Distance!U11*6</f>
        <v>148.03799999999998</v>
      </c>
      <c r="V11" s="33">
        <f>Distance!V11*6</f>
        <v>43.536000000000001</v>
      </c>
      <c r="W11" s="33">
        <f>Distance!W11*6</f>
        <v>87.293999999999997</v>
      </c>
      <c r="X11" s="33">
        <f>Distance!X11*6</f>
        <v>50.195999999999998</v>
      </c>
      <c r="Y11" s="33">
        <f>Distance!Y11*6</f>
        <v>84.876000000000005</v>
      </c>
      <c r="Z11" s="33">
        <f>Distance!Z11*6</f>
        <v>116.08200000000001</v>
      </c>
      <c r="AA11" s="33">
        <f>Distance!AA11*6</f>
        <v>144.81</v>
      </c>
      <c r="AB11" s="33">
        <f>Distance!AB11*6</f>
        <v>184.93199999999999</v>
      </c>
      <c r="AC11" s="33">
        <f>Distance!AC11*6</f>
        <v>622.81200000000001</v>
      </c>
      <c r="AD11" s="33">
        <f>Distance!AD11*6</f>
        <v>188.83199999999999</v>
      </c>
      <c r="AE11" s="33">
        <f>Distance!AE11*6</f>
        <v>84.402000000000001</v>
      </c>
      <c r="AF11" s="33">
        <f>Distance!AF11*6</f>
        <v>255.126</v>
      </c>
      <c r="AG11" s="33">
        <f>Distance!AG11*6</f>
        <v>11.555999999999999</v>
      </c>
      <c r="AH11" s="33">
        <f>Distance!AH11*6</f>
        <v>3.3779999999999997</v>
      </c>
      <c r="AI11" s="33">
        <f>Distance!AI11*6</f>
        <v>13.830000000000002</v>
      </c>
      <c r="AJ11" s="33">
        <f>Distance!AJ11*6</f>
        <v>9.93</v>
      </c>
      <c r="AK11" s="33">
        <f>Distance!AK11*6</f>
        <v>11.25</v>
      </c>
      <c r="AL11" s="33">
        <f>Distance!AL11*6</f>
        <v>110.56800000000001</v>
      </c>
      <c r="AM11" s="33">
        <f>Distance!AM11*6</f>
        <v>90.431999999999988</v>
      </c>
      <c r="AN11" s="33">
        <f>Distance!AN11*6</f>
        <v>113.44800000000001</v>
      </c>
      <c r="AO11" s="33">
        <f>Distance!AO11*6</f>
        <v>34.566000000000003</v>
      </c>
      <c r="AP11" s="33">
        <f>Distance!AP11*6</f>
        <v>23.795999999999999</v>
      </c>
      <c r="AQ11" s="33">
        <f>Distance!AQ11*6</f>
        <v>81.150000000000006</v>
      </c>
      <c r="AR11" s="33">
        <f>Distance!AR11*6</f>
        <v>88.091999999999999</v>
      </c>
      <c r="AS11" s="33">
        <f>Distance!AS11*6</f>
        <v>115.21799999999999</v>
      </c>
      <c r="AT11" s="33">
        <f>Distance!AT11*6</f>
        <v>193.428</v>
      </c>
      <c r="AU11" s="33">
        <f>Distance!AU11*6</f>
        <v>626.346</v>
      </c>
      <c r="AV11" s="33">
        <f>Distance!AV11*6</f>
        <v>82.02</v>
      </c>
      <c r="AW11" s="33">
        <f>Distance!AW11*6</f>
        <v>54.516000000000005</v>
      </c>
      <c r="AX11" s="33">
        <f>Distance!AX11*6</f>
        <v>222.846</v>
      </c>
      <c r="AY11" s="33">
        <f>Distance!AY11*6</f>
        <v>168.41399999999999</v>
      </c>
      <c r="AZ11" s="33">
        <f>Distance!AZ11*6</f>
        <v>289.512</v>
      </c>
    </row>
    <row r="12" spans="1:52">
      <c r="A12">
        <v>10</v>
      </c>
      <c r="B12" s="33">
        <f>Distance!B12*6</f>
        <v>47.016000000000005</v>
      </c>
      <c r="C12" s="33">
        <f>Distance!C12*6</f>
        <v>120.88800000000001</v>
      </c>
      <c r="D12" s="33">
        <f>Distance!D12*6</f>
        <v>19.5</v>
      </c>
      <c r="E12" s="33">
        <f>Distance!E12*6</f>
        <v>21.893999999999998</v>
      </c>
      <c r="F12" s="33">
        <f>Distance!F12*6</f>
        <v>51.42</v>
      </c>
      <c r="G12" s="33">
        <f>Distance!G12*6</f>
        <v>14.453999999999999</v>
      </c>
      <c r="H12" s="33">
        <f>Distance!H12*6</f>
        <v>37.044000000000004</v>
      </c>
      <c r="I12" s="33">
        <f>Distance!I12*6</f>
        <v>25.205999999999996</v>
      </c>
      <c r="J12" s="33">
        <f>Distance!J12*6</f>
        <v>22.187999999999999</v>
      </c>
      <c r="K12" s="33">
        <f>Distance!K12*6</f>
        <v>8.2439999999999998</v>
      </c>
      <c r="L12" s="33">
        <v>9999</v>
      </c>
      <c r="M12" s="33">
        <f>Distance!M12*6</f>
        <v>17.748000000000001</v>
      </c>
      <c r="N12" s="33">
        <f>Distance!N12*6</f>
        <v>13.703999999999999</v>
      </c>
      <c r="O12" s="33">
        <f>Distance!O12*6</f>
        <v>46.367999999999995</v>
      </c>
      <c r="P12" s="33">
        <f>Distance!P12*6</f>
        <v>41.346000000000004</v>
      </c>
      <c r="Q12" s="33">
        <f>Distance!Q12*6</f>
        <v>63.893999999999991</v>
      </c>
      <c r="R12" s="33">
        <f>Distance!R12*6</f>
        <v>9.9599999999999991</v>
      </c>
      <c r="S12" s="33">
        <f>Distance!S12*6</f>
        <v>19.667999999999999</v>
      </c>
      <c r="T12" s="33">
        <f>Distance!T12*6</f>
        <v>45.521999999999998</v>
      </c>
      <c r="U12" s="33">
        <f>Distance!U12*6</f>
        <v>145.84800000000001</v>
      </c>
      <c r="V12" s="33">
        <f>Distance!V12*6</f>
        <v>41.346000000000004</v>
      </c>
      <c r="W12" s="33">
        <f>Distance!W12*6</f>
        <v>80.597999999999999</v>
      </c>
      <c r="X12" s="33">
        <f>Distance!X12*6</f>
        <v>56.622</v>
      </c>
      <c r="Y12" s="33">
        <f>Distance!Y12*6</f>
        <v>118.81800000000001</v>
      </c>
      <c r="Z12" s="33">
        <f>Distance!Z12*6</f>
        <v>113.892</v>
      </c>
      <c r="AA12" s="33">
        <f>Distance!AA12*6</f>
        <v>142.62</v>
      </c>
      <c r="AB12" s="33">
        <f>Distance!AB12*6</f>
        <v>192.86399999999998</v>
      </c>
      <c r="AC12" s="33">
        <f>Distance!AC12*6</f>
        <v>630.74399999999991</v>
      </c>
      <c r="AD12" s="33">
        <f>Distance!AD12*6</f>
        <v>180.42600000000002</v>
      </c>
      <c r="AE12" s="33">
        <f>Distance!AE12*6</f>
        <v>75.353999999999999</v>
      </c>
      <c r="AF12" s="33">
        <f>Distance!AF12*6</f>
        <v>252.93599999999998</v>
      </c>
      <c r="AG12" s="33">
        <f>Distance!AG12*6</f>
        <v>6.863999999999999</v>
      </c>
      <c r="AH12" s="33">
        <f>Distance!AH12*6</f>
        <v>11.31</v>
      </c>
      <c r="AI12" s="33">
        <f>Distance!AI12*6</f>
        <v>21.762</v>
      </c>
      <c r="AJ12" s="33">
        <f>Distance!AJ12*6</f>
        <v>17.861999999999998</v>
      </c>
      <c r="AK12" s="33">
        <f>Distance!AK12*6</f>
        <v>6.5579999999999998</v>
      </c>
      <c r="AL12" s="33">
        <f>Distance!AL12*6</f>
        <v>118.5</v>
      </c>
      <c r="AM12" s="33">
        <f>Distance!AM12*6</f>
        <v>82.403999999999996</v>
      </c>
      <c r="AN12" s="33">
        <f>Distance!AN12*6</f>
        <v>105.42</v>
      </c>
      <c r="AO12" s="33">
        <f>Distance!AO12*6</f>
        <v>41.585999999999999</v>
      </c>
      <c r="AP12" s="33">
        <f>Distance!AP12*6</f>
        <v>20.79</v>
      </c>
      <c r="AQ12" s="33">
        <f>Distance!AQ12*6</f>
        <v>88.775999999999996</v>
      </c>
      <c r="AR12" s="33">
        <f>Distance!AR12*6</f>
        <v>104.49600000000001</v>
      </c>
      <c r="AS12" s="33">
        <f>Distance!AS12*6</f>
        <v>121.64400000000001</v>
      </c>
      <c r="AT12" s="33">
        <f>Distance!AT12*6</f>
        <v>201.36</v>
      </c>
      <c r="AU12" s="33">
        <f>Distance!AU12*6</f>
        <v>634.27800000000002</v>
      </c>
      <c r="AV12" s="33">
        <f>Distance!AV12*6</f>
        <v>86.777999999999992</v>
      </c>
      <c r="AW12" s="33">
        <f>Distance!AW12*6</f>
        <v>60.942</v>
      </c>
      <c r="AX12" s="33">
        <f>Distance!AX12*6</f>
        <v>216.14999999999998</v>
      </c>
      <c r="AY12" s="33">
        <f>Distance!AY12*6</f>
        <v>166.22399999999999</v>
      </c>
      <c r="AZ12" s="33">
        <f>Distance!AZ12*6</f>
        <v>280.464</v>
      </c>
    </row>
    <row r="13" spans="1:52">
      <c r="A13">
        <v>11</v>
      </c>
      <c r="B13" s="33">
        <f>Distance!B13*6</f>
        <v>28.715999999999998</v>
      </c>
      <c r="C13" s="33">
        <f>Distance!C13*6</f>
        <v>102.58799999999999</v>
      </c>
      <c r="D13" s="33">
        <f>Distance!D13*6</f>
        <v>4.008</v>
      </c>
      <c r="E13" s="33">
        <f>Distance!E13*6</f>
        <v>6.4019999999999992</v>
      </c>
      <c r="F13" s="33">
        <f>Distance!F13*6</f>
        <v>34.013999999999996</v>
      </c>
      <c r="G13" s="33">
        <f>Distance!G13*6</f>
        <v>3.6719999999999997</v>
      </c>
      <c r="H13" s="33">
        <f>Distance!H13*6</f>
        <v>19.698</v>
      </c>
      <c r="I13" s="33">
        <f>Distance!I13*6</f>
        <v>9.7140000000000004</v>
      </c>
      <c r="J13" s="33">
        <f>Distance!J13*6</f>
        <v>11.742000000000001</v>
      </c>
      <c r="K13" s="33">
        <f>Distance!K13*6</f>
        <v>13.11</v>
      </c>
      <c r="L13" s="33">
        <f>Distance!L13*6</f>
        <v>17.658000000000001</v>
      </c>
      <c r="M13" s="33">
        <v>9999</v>
      </c>
      <c r="N13" s="33">
        <f>Distance!N13*6</f>
        <v>2.742</v>
      </c>
      <c r="O13" s="33">
        <f>Distance!O13*6</f>
        <v>32.25</v>
      </c>
      <c r="P13" s="33">
        <f>Distance!P13*6</f>
        <v>33.731999999999999</v>
      </c>
      <c r="Q13" s="33">
        <f>Distance!Q13*6</f>
        <v>77.183999999999997</v>
      </c>
      <c r="R13" s="33">
        <f>Distance!R13*6</f>
        <v>13.716000000000001</v>
      </c>
      <c r="S13" s="33">
        <f>Distance!S13*6</f>
        <v>4.0920000000000005</v>
      </c>
      <c r="T13" s="33">
        <f>Distance!T13*6</f>
        <v>22.398</v>
      </c>
      <c r="U13" s="33">
        <f>Distance!U13*6</f>
        <v>144.44999999999999</v>
      </c>
      <c r="V13" s="33">
        <f>Distance!V13*6</f>
        <v>33.731999999999999</v>
      </c>
      <c r="W13" s="33">
        <f>Distance!W13*6</f>
        <v>92.328000000000003</v>
      </c>
      <c r="X13" s="33">
        <f>Distance!X13*6</f>
        <v>38.321999999999996</v>
      </c>
      <c r="Y13" s="33">
        <f>Distance!Y13*6</f>
        <v>82.361999999999995</v>
      </c>
      <c r="Z13" s="33">
        <f>Distance!Z13*6</f>
        <v>106.27800000000001</v>
      </c>
      <c r="AA13" s="33">
        <f>Distance!AA13*6</f>
        <v>135.006</v>
      </c>
      <c r="AB13" s="33">
        <f>Distance!AB13*6</f>
        <v>182.41800000000001</v>
      </c>
      <c r="AC13" s="33">
        <f>Distance!AC13*6</f>
        <v>620.298</v>
      </c>
      <c r="AD13" s="33">
        <f>Distance!AD13*6</f>
        <v>172.81200000000001</v>
      </c>
      <c r="AE13" s="33">
        <f>Distance!AE13*6</f>
        <v>89.664000000000001</v>
      </c>
      <c r="AF13" s="33">
        <f>Distance!AF13*6</f>
        <v>245.322</v>
      </c>
      <c r="AG13" s="33">
        <f>Distance!AG13*6</f>
        <v>16.817999999999998</v>
      </c>
      <c r="AH13" s="33">
        <f>Distance!AH13*6</f>
        <v>6.7379999999999995</v>
      </c>
      <c r="AI13" s="33">
        <f>Distance!AI13*6</f>
        <v>8.4420000000000002</v>
      </c>
      <c r="AJ13" s="33">
        <f>Distance!AJ13*6</f>
        <v>5.5860000000000003</v>
      </c>
      <c r="AK13" s="33">
        <f>Distance!AK13*6</f>
        <v>16.512</v>
      </c>
      <c r="AL13" s="33">
        <f>Distance!AL13*6</f>
        <v>108.054</v>
      </c>
      <c r="AM13" s="33">
        <f>Distance!AM13*6</f>
        <v>95.694000000000003</v>
      </c>
      <c r="AN13" s="33">
        <f>Distance!AN13*6</f>
        <v>118.71000000000001</v>
      </c>
      <c r="AO13" s="33">
        <f>Distance!AO13*6</f>
        <v>22.692</v>
      </c>
      <c r="AP13" s="33">
        <f>Distance!AP13*6</f>
        <v>19.86</v>
      </c>
      <c r="AQ13" s="33">
        <f>Distance!AQ13*6</f>
        <v>78.635999999999996</v>
      </c>
      <c r="AR13" s="33">
        <f>Distance!AR13*6</f>
        <v>78.677999999999997</v>
      </c>
      <c r="AS13" s="33">
        <f>Distance!AS13*6</f>
        <v>103.34399999999999</v>
      </c>
      <c r="AT13" s="33">
        <f>Distance!AT13*6</f>
        <v>190.91399999999999</v>
      </c>
      <c r="AU13" s="33">
        <f>Distance!AU13*6</f>
        <v>623.83199999999999</v>
      </c>
      <c r="AV13" s="33">
        <f>Distance!AV13*6</f>
        <v>70.146000000000001</v>
      </c>
      <c r="AW13" s="33">
        <f>Distance!AW13*6</f>
        <v>42.642000000000003</v>
      </c>
      <c r="AX13" s="33">
        <f>Distance!AX13*6</f>
        <v>238.68</v>
      </c>
      <c r="AY13" s="33">
        <f>Distance!AY13*6</f>
        <v>158.60999999999999</v>
      </c>
      <c r="AZ13" s="33">
        <f>Distance!AZ13*6</f>
        <v>294.774</v>
      </c>
    </row>
    <row r="14" spans="1:52">
      <c r="A14">
        <v>12</v>
      </c>
      <c r="B14" s="33">
        <f>Distance!B14*6</f>
        <v>26.43</v>
      </c>
      <c r="C14" s="33">
        <f>Distance!C14*6</f>
        <v>100.30199999999999</v>
      </c>
      <c r="D14" s="33">
        <f>Distance!D14*6</f>
        <v>3.7919999999999998</v>
      </c>
      <c r="E14" s="33">
        <f>Distance!E14*6</f>
        <v>6.1859999999999999</v>
      </c>
      <c r="F14" s="33">
        <f>Distance!F14*6</f>
        <v>38.795999999999999</v>
      </c>
      <c r="G14" s="33">
        <f>Distance!G14*6</f>
        <v>3.3660000000000005</v>
      </c>
      <c r="H14" s="33">
        <f>Distance!H14*6</f>
        <v>24.48</v>
      </c>
      <c r="I14" s="33">
        <f>Distance!I14*6</f>
        <v>9.4979999999999993</v>
      </c>
      <c r="J14" s="33">
        <f>Distance!J14*6</f>
        <v>14.046000000000001</v>
      </c>
      <c r="K14" s="33">
        <f>Distance!K14*6</f>
        <v>11.658000000000001</v>
      </c>
      <c r="L14" s="33">
        <f>Distance!L14*6</f>
        <v>16.206</v>
      </c>
      <c r="M14" s="33">
        <f>Distance!M14*6</f>
        <v>2.742</v>
      </c>
      <c r="N14" s="33">
        <v>9999</v>
      </c>
      <c r="O14" s="33">
        <f>Distance!O14*6</f>
        <v>29.963999999999999</v>
      </c>
      <c r="P14" s="33">
        <f>Distance!P14*6</f>
        <v>31.445999999999998</v>
      </c>
      <c r="Q14" s="33">
        <f>Distance!Q14*6</f>
        <v>75.731999999999999</v>
      </c>
      <c r="R14" s="33">
        <f>Distance!R14*6</f>
        <v>16.416</v>
      </c>
      <c r="S14" s="33">
        <f>Distance!S14*6</f>
        <v>1.806</v>
      </c>
      <c r="T14" s="33">
        <f>Distance!T14*6</f>
        <v>20.111999999999998</v>
      </c>
      <c r="U14" s="33">
        <f>Distance!U14*6</f>
        <v>135.94800000000001</v>
      </c>
      <c r="V14" s="33">
        <f>Distance!V14*6</f>
        <v>31.445999999999998</v>
      </c>
      <c r="W14" s="33">
        <f>Distance!W14*6</f>
        <v>96.174000000000007</v>
      </c>
      <c r="X14" s="33">
        <f>Distance!X14*6</f>
        <v>36.036000000000001</v>
      </c>
      <c r="Y14" s="33">
        <f>Distance!Y14*6</f>
        <v>82.164000000000001</v>
      </c>
      <c r="Z14" s="33">
        <f>Distance!Z14*6</f>
        <v>103.992</v>
      </c>
      <c r="AA14" s="33">
        <f>Distance!AA14*6</f>
        <v>132.72</v>
      </c>
      <c r="AB14" s="33">
        <f>Distance!AB14*6</f>
        <v>182.22</v>
      </c>
      <c r="AC14" s="33">
        <f>Distance!AC14*6</f>
        <v>620.09999999999991</v>
      </c>
      <c r="AD14" s="33">
        <f>Distance!AD14*6</f>
        <v>170.52600000000001</v>
      </c>
      <c r="AE14" s="33">
        <f>Distance!AE14*6</f>
        <v>88.212000000000003</v>
      </c>
      <c r="AF14" s="33">
        <f>Distance!AF14*6</f>
        <v>243.036</v>
      </c>
      <c r="AG14" s="33">
        <f>Distance!AG14*6</f>
        <v>15.366</v>
      </c>
      <c r="AH14" s="33">
        <f>Distance!AH14*6</f>
        <v>8.2379999999999995</v>
      </c>
      <c r="AI14" s="33">
        <f>Distance!AI14*6</f>
        <v>8.2259999999999991</v>
      </c>
      <c r="AJ14" s="33">
        <f>Distance!AJ14*6</f>
        <v>7.89</v>
      </c>
      <c r="AK14" s="33">
        <f>Distance!AK14*6</f>
        <v>15.059999999999999</v>
      </c>
      <c r="AL14" s="33">
        <f>Distance!AL14*6</f>
        <v>107.85599999999999</v>
      </c>
      <c r="AM14" s="33">
        <f>Distance!AM14*6</f>
        <v>94.242000000000004</v>
      </c>
      <c r="AN14" s="33">
        <f>Distance!AN14*6</f>
        <v>117.258</v>
      </c>
      <c r="AO14" s="33">
        <f>Distance!AO14*6</f>
        <v>20.405999999999999</v>
      </c>
      <c r="AP14" s="33">
        <f>Distance!AP14*6</f>
        <v>16.475999999999999</v>
      </c>
      <c r="AQ14" s="33">
        <f>Distance!AQ14*6</f>
        <v>78.438000000000002</v>
      </c>
      <c r="AR14" s="33">
        <f>Distance!AR14*6</f>
        <v>76.001999999999995</v>
      </c>
      <c r="AS14" s="33">
        <f>Distance!AS14*6</f>
        <v>101.05799999999999</v>
      </c>
      <c r="AT14" s="33">
        <f>Distance!AT14*6</f>
        <v>190.71600000000001</v>
      </c>
      <c r="AU14" s="33">
        <f>Distance!AU14*6</f>
        <v>623.63400000000001</v>
      </c>
      <c r="AV14" s="33">
        <f>Distance!AV14*6</f>
        <v>67.86</v>
      </c>
      <c r="AW14" s="33">
        <f>Distance!AW14*6</f>
        <v>40.356000000000002</v>
      </c>
      <c r="AX14" s="33">
        <f>Distance!AX14*6</f>
        <v>236.39400000000001</v>
      </c>
      <c r="AY14" s="33">
        <f>Distance!AY14*6</f>
        <v>156.32399999999998</v>
      </c>
      <c r="AZ14" s="33">
        <f>Distance!AZ14*6</f>
        <v>293.322</v>
      </c>
    </row>
    <row r="15" spans="1:52">
      <c r="A15">
        <v>13</v>
      </c>
      <c r="B15" s="33">
        <f>Distance!B15*6</f>
        <v>24.72</v>
      </c>
      <c r="C15" s="33">
        <f>Distance!C15*6</f>
        <v>98.591999999999985</v>
      </c>
      <c r="D15" s="33">
        <f>Distance!D15*6</f>
        <v>29.688000000000002</v>
      </c>
      <c r="E15" s="33">
        <f>Distance!E15*6</f>
        <v>25.728000000000002</v>
      </c>
      <c r="F15" s="33">
        <f>Distance!F15*6</f>
        <v>38.723999999999997</v>
      </c>
      <c r="G15" s="33">
        <f>Distance!G15*6</f>
        <v>22.049999999999997</v>
      </c>
      <c r="H15" s="33">
        <f>Distance!H15*6</f>
        <v>29.976000000000003</v>
      </c>
      <c r="I15" s="33">
        <f>Distance!I15*6</f>
        <v>29.04</v>
      </c>
      <c r="J15" s="33">
        <f>Distance!J15*6</f>
        <v>38.465999999999994</v>
      </c>
      <c r="K15" s="33">
        <f>Distance!K15*6</f>
        <v>38.903999999999996</v>
      </c>
      <c r="L15" s="33">
        <f>Distance!L15*6</f>
        <v>33.468000000000004</v>
      </c>
      <c r="M15" s="33">
        <f>Distance!M15*6</f>
        <v>25.481999999999999</v>
      </c>
      <c r="N15" s="33">
        <f>Distance!N15*6</f>
        <v>27.299999999999997</v>
      </c>
      <c r="O15" s="33">
        <v>9999</v>
      </c>
      <c r="P15" s="33">
        <f>Distance!P15*6</f>
        <v>17.957999999999998</v>
      </c>
      <c r="Q15" s="33">
        <f>Distance!Q15*6</f>
        <v>89.652000000000001</v>
      </c>
      <c r="R15" s="33">
        <f>Distance!R15*6</f>
        <v>40.619999999999997</v>
      </c>
      <c r="S15" s="33">
        <f>Distance!S15*6</f>
        <v>27.701999999999998</v>
      </c>
      <c r="T15" s="33">
        <f>Distance!T15*6</f>
        <v>23.154</v>
      </c>
      <c r="U15" s="33">
        <f>Distance!U15*6</f>
        <v>123.16799999999999</v>
      </c>
      <c r="V15" s="33">
        <f>Distance!V15*6</f>
        <v>17.957999999999998</v>
      </c>
      <c r="W15" s="33">
        <f>Distance!W15*6</f>
        <v>83.334000000000003</v>
      </c>
      <c r="X15" s="33">
        <f>Distance!X15*6</f>
        <v>34.326000000000001</v>
      </c>
      <c r="Y15" s="33">
        <f>Distance!Y15*6</f>
        <v>83.813999999999993</v>
      </c>
      <c r="Z15" s="33">
        <f>Distance!Z15*6</f>
        <v>91.212000000000003</v>
      </c>
      <c r="AA15" s="33">
        <f>Distance!AA15*6</f>
        <v>119.94</v>
      </c>
      <c r="AB15" s="33">
        <f>Distance!AB15*6</f>
        <v>193.86599999999999</v>
      </c>
      <c r="AC15" s="33">
        <f>Distance!AC15*6</f>
        <v>665.71199999999999</v>
      </c>
      <c r="AD15" s="33">
        <f>Distance!AD15*6</f>
        <v>157.74600000000001</v>
      </c>
      <c r="AE15" s="33">
        <f>Distance!AE15*6</f>
        <v>90.671999999999997</v>
      </c>
      <c r="AF15" s="33">
        <f>Distance!AF15*6</f>
        <v>230.25599999999997</v>
      </c>
      <c r="AG15" s="33">
        <f>Distance!AG15*6</f>
        <v>37.524000000000001</v>
      </c>
      <c r="AH15" s="33">
        <f>Distance!AH15*6</f>
        <v>27.588000000000001</v>
      </c>
      <c r="AI15" s="33">
        <f>Distance!AI15*6</f>
        <v>45.137999999999998</v>
      </c>
      <c r="AJ15" s="33">
        <f>Distance!AJ15*6</f>
        <v>34.14</v>
      </c>
      <c r="AK15" s="33">
        <f>Distance!AK15*6</f>
        <v>37.218000000000004</v>
      </c>
      <c r="AL15" s="33">
        <f>Distance!AL15*6</f>
        <v>119.706</v>
      </c>
      <c r="AM15" s="33">
        <f>Distance!AM15*6</f>
        <v>125.60400000000001</v>
      </c>
      <c r="AN15" s="33">
        <f>Distance!AN15*6</f>
        <v>131.178</v>
      </c>
      <c r="AO15" s="33">
        <f>Distance!AO15*6</f>
        <v>19.29</v>
      </c>
      <c r="AP15" s="33">
        <f>Distance!AP15*6</f>
        <v>12.953999999999999</v>
      </c>
      <c r="AQ15" s="33">
        <f>Distance!AQ15*6</f>
        <v>80.088000000000008</v>
      </c>
      <c r="AR15" s="33">
        <f>Distance!AR15*6</f>
        <v>63.222000000000008</v>
      </c>
      <c r="AS15" s="33">
        <f>Distance!AS15*6</f>
        <v>99.347999999999999</v>
      </c>
      <c r="AT15" s="33">
        <f>Distance!AT15*6</f>
        <v>202.56600000000003</v>
      </c>
      <c r="AU15" s="33">
        <f>Distance!AU15*6</f>
        <v>669.24599999999998</v>
      </c>
      <c r="AV15" s="33">
        <f>Distance!AV15*6</f>
        <v>66.150000000000006</v>
      </c>
      <c r="AW15" s="33">
        <f>Distance!AW15*6</f>
        <v>38.646000000000001</v>
      </c>
      <c r="AX15" s="33">
        <f>Distance!AX15*6</f>
        <v>223.61399999999998</v>
      </c>
      <c r="AY15" s="33">
        <f>Distance!AY15*6</f>
        <v>143.54399999999998</v>
      </c>
      <c r="AZ15" s="33">
        <f>Distance!AZ15*6</f>
        <v>295.78199999999998</v>
      </c>
    </row>
    <row r="16" spans="1:52">
      <c r="A16">
        <v>14</v>
      </c>
      <c r="B16" s="33">
        <f>Distance!B16*6</f>
        <v>20.981999999999999</v>
      </c>
      <c r="C16" s="33">
        <f>Distance!C16*6</f>
        <v>94.853999999999999</v>
      </c>
      <c r="D16" s="33">
        <f>Distance!D16*6</f>
        <v>36.69</v>
      </c>
      <c r="E16" s="33">
        <f>Distance!E16*6</f>
        <v>32.730000000000004</v>
      </c>
      <c r="F16" s="33">
        <f>Distance!F16*6</f>
        <v>40.902000000000001</v>
      </c>
      <c r="G16" s="33">
        <f>Distance!G16*6</f>
        <v>29.052</v>
      </c>
      <c r="H16" s="33">
        <f>Distance!H16*6</f>
        <v>36.192</v>
      </c>
      <c r="I16" s="33">
        <f>Distance!I16*6</f>
        <v>36.042000000000002</v>
      </c>
      <c r="J16" s="33">
        <f>Distance!J16*6</f>
        <v>45.468000000000004</v>
      </c>
      <c r="K16" s="33">
        <f>Distance!K16*6</f>
        <v>38.01</v>
      </c>
      <c r="L16" s="33">
        <f>Distance!L16*6</f>
        <v>40.518000000000001</v>
      </c>
      <c r="M16" s="33">
        <f>Distance!M16*6</f>
        <v>32.483999999999995</v>
      </c>
      <c r="N16" s="33">
        <f>Distance!N16*6</f>
        <v>34.302</v>
      </c>
      <c r="O16" s="33">
        <f>Distance!O16*6</f>
        <v>13.511999999999999</v>
      </c>
      <c r="P16" s="33">
        <v>9999</v>
      </c>
      <c r="Q16" s="33">
        <f>Distance!Q16*6</f>
        <v>96.713999999999999</v>
      </c>
      <c r="R16" s="33">
        <f>Distance!R16*6</f>
        <v>47.67</v>
      </c>
      <c r="S16" s="33">
        <f>Distance!S16*6</f>
        <v>34.704000000000001</v>
      </c>
      <c r="T16" s="33">
        <f>Distance!T16*6</f>
        <v>30.486000000000004</v>
      </c>
      <c r="U16" s="33">
        <f>Distance!U16*6</f>
        <v>117.75</v>
      </c>
      <c r="V16" s="33">
        <f>Distance!V16*6</f>
        <v>0</v>
      </c>
      <c r="W16" s="33">
        <f>Distance!W16*6</f>
        <v>90.396000000000001</v>
      </c>
      <c r="X16" s="33">
        <f>Distance!X16*6</f>
        <v>30.588000000000001</v>
      </c>
      <c r="Y16" s="33">
        <f>Distance!Y16*6</f>
        <v>85.992000000000004</v>
      </c>
      <c r="Z16" s="33">
        <f>Distance!Z16*6</f>
        <v>85.793999999999997</v>
      </c>
      <c r="AA16" s="33">
        <f>Distance!AA16*6</f>
        <v>114.52199999999999</v>
      </c>
      <c r="AB16" s="33">
        <f>Distance!AB16*6</f>
        <v>196.04399999999998</v>
      </c>
      <c r="AC16" s="33">
        <f>Distance!AC16*6</f>
        <v>667.89</v>
      </c>
      <c r="AD16" s="33">
        <f>Distance!AD16*6</f>
        <v>152.328</v>
      </c>
      <c r="AE16" s="33">
        <f>Distance!AE16*6</f>
        <v>97.734000000000009</v>
      </c>
      <c r="AF16" s="33">
        <f>Distance!AF16*6</f>
        <v>224.83799999999999</v>
      </c>
      <c r="AG16" s="33">
        <f>Distance!AG16*6</f>
        <v>44.573999999999998</v>
      </c>
      <c r="AH16" s="33">
        <f>Distance!AH16*6</f>
        <v>34.589999999999996</v>
      </c>
      <c r="AI16" s="33">
        <f>Distance!AI16*6</f>
        <v>41.124000000000002</v>
      </c>
      <c r="AJ16" s="33">
        <f>Distance!AJ16*6</f>
        <v>41.142000000000003</v>
      </c>
      <c r="AK16" s="33">
        <f>Distance!AK16*6</f>
        <v>44.268000000000001</v>
      </c>
      <c r="AL16" s="33">
        <f>Distance!AL16*6</f>
        <v>121.884</v>
      </c>
      <c r="AM16" s="33">
        <f>Distance!AM16*6</f>
        <v>115.224</v>
      </c>
      <c r="AN16" s="33">
        <f>Distance!AN16*6</f>
        <v>138.24</v>
      </c>
      <c r="AO16" s="33">
        <f>Distance!AO16*6</f>
        <v>26.622</v>
      </c>
      <c r="AP16" s="33">
        <f>Distance!AP16*6</f>
        <v>19.956</v>
      </c>
      <c r="AQ16" s="33">
        <f>Distance!AQ16*6</f>
        <v>82.266000000000005</v>
      </c>
      <c r="AR16" s="33">
        <f>Distance!AR16*6</f>
        <v>50.885999999999996</v>
      </c>
      <c r="AS16" s="33">
        <f>Distance!AS16*6</f>
        <v>95.61</v>
      </c>
      <c r="AT16" s="33">
        <f>Distance!AT16*6</f>
        <v>204.74400000000003</v>
      </c>
      <c r="AU16" s="33">
        <f>Distance!AU16*6</f>
        <v>671.42399999999998</v>
      </c>
      <c r="AV16" s="33">
        <f>Distance!AV16*6</f>
        <v>62.411999999999992</v>
      </c>
      <c r="AW16" s="33">
        <f>Distance!AW16*6</f>
        <v>34.908000000000001</v>
      </c>
      <c r="AX16" s="33">
        <f>Distance!AX16*6</f>
        <v>218.196</v>
      </c>
      <c r="AY16" s="33">
        <f>Distance!AY16*6</f>
        <v>138.126</v>
      </c>
      <c r="AZ16" s="33">
        <f>Distance!AZ16*6</f>
        <v>302.84399999999999</v>
      </c>
    </row>
    <row r="17" spans="1:52">
      <c r="A17">
        <v>15</v>
      </c>
      <c r="B17" s="33">
        <f>Distance!B17*6</f>
        <v>103.59599999999999</v>
      </c>
      <c r="C17" s="33">
        <f>Distance!C17*6</f>
        <v>177.46799999999999</v>
      </c>
      <c r="D17" s="33">
        <f>Distance!D17*6</f>
        <v>75.929999999999993</v>
      </c>
      <c r="E17" s="33">
        <f>Distance!E17*6</f>
        <v>78.323999999999998</v>
      </c>
      <c r="F17" s="33">
        <f>Distance!F17*6</f>
        <v>151.47</v>
      </c>
      <c r="G17" s="33">
        <f>Distance!G17*6</f>
        <v>94.415999999999997</v>
      </c>
      <c r="H17" s="33">
        <f>Distance!H17*6</f>
        <v>108.92400000000001</v>
      </c>
      <c r="I17" s="33">
        <f>Distance!I17*6</f>
        <v>81.635999999999996</v>
      </c>
      <c r="J17" s="33">
        <f>Distance!J17*6</f>
        <v>99.149999999999991</v>
      </c>
      <c r="K17" s="33">
        <f>Distance!K17*6</f>
        <v>64.674000000000007</v>
      </c>
      <c r="L17" s="33">
        <f>Distance!L17*6</f>
        <v>63.893999999999991</v>
      </c>
      <c r="M17" s="33">
        <f>Distance!M17*6</f>
        <v>74.177999999999997</v>
      </c>
      <c r="N17" s="33">
        <f>Distance!N17*6</f>
        <v>76.266000000000005</v>
      </c>
      <c r="O17" s="33">
        <f>Distance!O17*6</f>
        <v>102.94800000000001</v>
      </c>
      <c r="P17" s="33">
        <f>Distance!P17*6</f>
        <v>97.926000000000016</v>
      </c>
      <c r="Q17" s="33">
        <v>9999</v>
      </c>
      <c r="R17" s="33">
        <f>Distance!R17*6</f>
        <v>66.39</v>
      </c>
      <c r="S17" s="33">
        <f>Distance!S17*6</f>
        <v>77.28</v>
      </c>
      <c r="T17" s="33">
        <f>Distance!T17*6</f>
        <v>102.102</v>
      </c>
      <c r="U17" s="33">
        <f>Distance!U17*6</f>
        <v>199.536</v>
      </c>
      <c r="V17" s="33">
        <f>Distance!V17*6</f>
        <v>97.926000000000016</v>
      </c>
      <c r="W17" s="33">
        <f>Distance!W17*6</f>
        <v>121.32</v>
      </c>
      <c r="X17" s="33">
        <f>Distance!X17*6</f>
        <v>113.202</v>
      </c>
      <c r="Y17" s="33">
        <f>Distance!Y17*6</f>
        <v>140.50200000000001</v>
      </c>
      <c r="Z17" s="33">
        <f>Distance!Z17*6</f>
        <v>167.57999999999998</v>
      </c>
      <c r="AA17" s="33">
        <f>Distance!AA17*6</f>
        <v>196.30800000000002</v>
      </c>
      <c r="AB17" s="33">
        <f>Distance!AB17*6</f>
        <v>229.75200000000001</v>
      </c>
      <c r="AC17" s="33">
        <f>Distance!AC17*6</f>
        <v>667.572</v>
      </c>
      <c r="AD17" s="33">
        <f>Distance!AD17*6</f>
        <v>234.11399999999998</v>
      </c>
      <c r="AE17" s="33">
        <f>Distance!AE17*6</f>
        <v>61.488</v>
      </c>
      <c r="AF17" s="33">
        <f>Distance!AF17*6</f>
        <v>306.62400000000002</v>
      </c>
      <c r="AG17" s="33">
        <f>Distance!AG17*6</f>
        <v>63.293999999999997</v>
      </c>
      <c r="AH17" s="33">
        <f>Distance!AH17*6</f>
        <v>67.739999999999995</v>
      </c>
      <c r="AI17" s="33">
        <f>Distance!AI17*6</f>
        <v>78.192000000000007</v>
      </c>
      <c r="AJ17" s="33">
        <f>Distance!AJ17*6</f>
        <v>74.292000000000002</v>
      </c>
      <c r="AK17" s="33">
        <f>Distance!AK17*6</f>
        <v>62.988</v>
      </c>
      <c r="AL17" s="33">
        <f>Distance!AL17*6</f>
        <v>155.38800000000001</v>
      </c>
      <c r="AM17" s="33">
        <f>Distance!AM17*6</f>
        <v>18.504000000000001</v>
      </c>
      <c r="AN17" s="33">
        <f>Distance!AN17*6</f>
        <v>41.519999999999996</v>
      </c>
      <c r="AO17" s="33">
        <f>Distance!AO17*6</f>
        <v>98.165999999999997</v>
      </c>
      <c r="AP17" s="33">
        <f>Distance!AP17*6</f>
        <v>84.072000000000003</v>
      </c>
      <c r="AQ17" s="33">
        <f>Distance!AQ17*6</f>
        <v>136.77600000000001</v>
      </c>
      <c r="AR17" s="33">
        <f>Distance!AR17*6</f>
        <v>143.316</v>
      </c>
      <c r="AS17" s="33">
        <f>Distance!AS17*6</f>
        <v>178.22399999999999</v>
      </c>
      <c r="AT17" s="33">
        <f>Distance!AT17*6</f>
        <v>238.24799999999999</v>
      </c>
      <c r="AU17" s="33">
        <f>Distance!AU17*6</f>
        <v>671.10599999999999</v>
      </c>
      <c r="AV17" s="33">
        <f>Distance!AV17*6</f>
        <v>145.02600000000001</v>
      </c>
      <c r="AW17" s="33">
        <f>Distance!AW17*6</f>
        <v>117.52199999999999</v>
      </c>
      <c r="AX17" s="33">
        <f>Distance!AX17*6</f>
        <v>256.87199999999996</v>
      </c>
      <c r="AY17" s="33">
        <f>Distance!AY17*6</f>
        <v>219.91200000000001</v>
      </c>
      <c r="AZ17" s="33">
        <f>Distance!AZ17*6</f>
        <v>226.02600000000001</v>
      </c>
    </row>
    <row r="18" spans="1:52">
      <c r="A18">
        <v>16</v>
      </c>
      <c r="B18" s="33">
        <f>Distance!B18*6</f>
        <v>42.786000000000001</v>
      </c>
      <c r="C18" s="33">
        <f>Distance!C18*6</f>
        <v>116.65800000000002</v>
      </c>
      <c r="D18" s="33">
        <f>Distance!D18*6</f>
        <v>20.244</v>
      </c>
      <c r="E18" s="33">
        <f>Distance!E18*6</f>
        <v>22.638000000000002</v>
      </c>
      <c r="F18" s="33">
        <f>Distance!F18*6</f>
        <v>45.624000000000002</v>
      </c>
      <c r="G18" s="33">
        <f>Distance!G18*6</f>
        <v>23.64</v>
      </c>
      <c r="H18" s="33">
        <f>Distance!H18*6</f>
        <v>31.308</v>
      </c>
      <c r="I18" s="33">
        <f>Distance!I18*6</f>
        <v>25.950000000000003</v>
      </c>
      <c r="J18" s="33">
        <f>Distance!J18*6</f>
        <v>16.451999999999998</v>
      </c>
      <c r="K18" s="33">
        <f>Distance!K18*6</f>
        <v>8.9879999999999995</v>
      </c>
      <c r="L18" s="33">
        <f>Distance!L18*6</f>
        <v>11.513999999999999</v>
      </c>
      <c r="M18" s="33">
        <f>Distance!M18*6</f>
        <v>18.491999999999997</v>
      </c>
      <c r="N18" s="33">
        <f>Distance!N18*6</f>
        <v>20.580000000000002</v>
      </c>
      <c r="O18" s="33">
        <f>Distance!O18*6</f>
        <v>46.32</v>
      </c>
      <c r="P18" s="33">
        <f>Distance!P18*6</f>
        <v>51.282000000000004</v>
      </c>
      <c r="Q18" s="33">
        <f>Distance!Q18*6</f>
        <v>68.021999999999991</v>
      </c>
      <c r="R18" s="33">
        <v>9999</v>
      </c>
      <c r="S18" s="33">
        <f>Distance!S18*6</f>
        <v>21.594000000000001</v>
      </c>
      <c r="T18" s="33">
        <f>Distance!T18*6</f>
        <v>33.792000000000002</v>
      </c>
      <c r="U18" s="33">
        <f>Distance!U18*6</f>
        <v>155.78399999999999</v>
      </c>
      <c r="V18" s="33">
        <f>Distance!V18*6</f>
        <v>51.282000000000004</v>
      </c>
      <c r="W18" s="33">
        <f>Distance!W18*6</f>
        <v>90.534000000000006</v>
      </c>
      <c r="X18" s="33">
        <f>Distance!X18*6</f>
        <v>52.391999999999996</v>
      </c>
      <c r="Y18" s="33">
        <f>Distance!Y18*6</f>
        <v>88.271999999999991</v>
      </c>
      <c r="Z18" s="33">
        <f>Distance!Z18*6</f>
        <v>123.828</v>
      </c>
      <c r="AA18" s="33">
        <f>Distance!AA18*6</f>
        <v>152.55599999999998</v>
      </c>
      <c r="AB18" s="33">
        <f>Distance!AB18*6</f>
        <v>187.12799999999999</v>
      </c>
      <c r="AC18" s="33">
        <f>Distance!AC18*6</f>
        <v>625.00800000000004</v>
      </c>
      <c r="AD18" s="33">
        <f>Distance!AD18*6</f>
        <v>190.36199999999999</v>
      </c>
      <c r="AE18" s="33">
        <f>Distance!AE18*6</f>
        <v>91.343999999999994</v>
      </c>
      <c r="AF18" s="33">
        <f>Distance!AF18*6</f>
        <v>262.87199999999996</v>
      </c>
      <c r="AG18" s="33">
        <f>Distance!AG18*6</f>
        <v>7.6080000000000005</v>
      </c>
      <c r="AH18" s="33">
        <f>Distance!AH18*6</f>
        <v>12.053999999999998</v>
      </c>
      <c r="AI18" s="33">
        <f>Distance!AI18*6</f>
        <v>16.026</v>
      </c>
      <c r="AJ18" s="33">
        <f>Distance!AJ18*6</f>
        <v>12.125999999999999</v>
      </c>
      <c r="AK18" s="33">
        <f>Distance!AK18*6</f>
        <v>7.3020000000000005</v>
      </c>
      <c r="AL18" s="33">
        <f>Distance!AL18*6</f>
        <v>112.76400000000001</v>
      </c>
      <c r="AM18" s="33">
        <f>Distance!AM18*6</f>
        <v>103.62</v>
      </c>
      <c r="AN18" s="33">
        <f>Distance!AN18*6</f>
        <v>109.548</v>
      </c>
      <c r="AO18" s="33">
        <f>Distance!AO18*6</f>
        <v>36.762</v>
      </c>
      <c r="AP18" s="33">
        <f>Distance!AP18*6</f>
        <v>25.038</v>
      </c>
      <c r="AQ18" s="33">
        <f>Distance!AQ18*6</f>
        <v>84.545999999999992</v>
      </c>
      <c r="AR18" s="33">
        <f>Distance!AR18*6</f>
        <v>109.90800000000002</v>
      </c>
      <c r="AS18" s="33">
        <f>Distance!AS18*6</f>
        <v>117.41399999999999</v>
      </c>
      <c r="AT18" s="33">
        <f>Distance!AT18*6</f>
        <v>195.624</v>
      </c>
      <c r="AU18" s="33">
        <f>Distance!AU18*6</f>
        <v>628.54200000000003</v>
      </c>
      <c r="AV18" s="33">
        <f>Distance!AV18*6</f>
        <v>84.215999999999994</v>
      </c>
      <c r="AW18" s="33">
        <f>Distance!AW18*6</f>
        <v>56.712000000000003</v>
      </c>
      <c r="AX18" s="33">
        <f>Distance!AX18*6</f>
        <v>226.08599999999998</v>
      </c>
      <c r="AY18" s="33">
        <f>Distance!AY18*6</f>
        <v>176.16</v>
      </c>
      <c r="AZ18" s="33">
        <f>Distance!AZ18*6</f>
        <v>292.75200000000001</v>
      </c>
    </row>
    <row r="19" spans="1:52">
      <c r="A19">
        <v>17</v>
      </c>
      <c r="B19" s="33">
        <f>Distance!B19*6</f>
        <v>26.82</v>
      </c>
      <c r="C19" s="33">
        <f>Distance!C19*6</f>
        <v>100.69200000000001</v>
      </c>
      <c r="D19" s="33">
        <f>Distance!D19*6</f>
        <v>4.1100000000000003</v>
      </c>
      <c r="E19" s="33">
        <f>Distance!E19*6</f>
        <v>4.38</v>
      </c>
      <c r="F19" s="33">
        <f>Distance!F19*6</f>
        <v>31.943999999999999</v>
      </c>
      <c r="G19" s="33">
        <f>Distance!G19*6</f>
        <v>4.7279999999999998</v>
      </c>
      <c r="H19" s="33">
        <f>Distance!H19*6</f>
        <v>17.628</v>
      </c>
      <c r="I19" s="33">
        <f>Distance!I19*6</f>
        <v>7.6920000000000002</v>
      </c>
      <c r="J19" s="33">
        <f>Distance!J19*6</f>
        <v>14.183999999999999</v>
      </c>
      <c r="K19" s="33">
        <f>Distance!K19*6</f>
        <v>12.995999999999999</v>
      </c>
      <c r="L19" s="33">
        <f>Distance!L19*6</f>
        <v>17.544</v>
      </c>
      <c r="M19" s="33">
        <f>Distance!M19*6</f>
        <v>4.08</v>
      </c>
      <c r="N19" s="33">
        <f>Distance!N19*6</f>
        <v>1.794</v>
      </c>
      <c r="O19" s="33">
        <f>Distance!O19*6</f>
        <v>30.353999999999999</v>
      </c>
      <c r="P19" s="33">
        <f>Distance!P19*6</f>
        <v>31.835999999999999</v>
      </c>
      <c r="Q19" s="33">
        <f>Distance!Q19*6</f>
        <v>77.070000000000007</v>
      </c>
      <c r="R19" s="33">
        <f>Distance!R19*6</f>
        <v>16.553999999999998</v>
      </c>
      <c r="S19" s="33">
        <v>9999</v>
      </c>
      <c r="T19" s="33">
        <f>Distance!T19*6</f>
        <v>20.501999999999999</v>
      </c>
      <c r="U19" s="33">
        <f>Distance!U19*6</f>
        <v>136.33799999999999</v>
      </c>
      <c r="V19" s="33">
        <f>Distance!V19*6</f>
        <v>31.835999999999999</v>
      </c>
      <c r="W19" s="33">
        <f>Distance!W19*6</f>
        <v>96.564000000000007</v>
      </c>
      <c r="X19" s="33">
        <f>Distance!X19*6</f>
        <v>36.426000000000002</v>
      </c>
      <c r="Y19" s="33">
        <f>Distance!Y19*6</f>
        <v>80.358000000000004</v>
      </c>
      <c r="Z19" s="33">
        <f>Distance!Z19*6</f>
        <v>104.38199999999999</v>
      </c>
      <c r="AA19" s="33">
        <f>Distance!AA19*6</f>
        <v>133.10999999999999</v>
      </c>
      <c r="AB19" s="33">
        <f>Distance!AB19*6</f>
        <v>180.41399999999999</v>
      </c>
      <c r="AC19" s="33">
        <f>Distance!AC19*6</f>
        <v>618.2940000000001</v>
      </c>
      <c r="AD19" s="33">
        <f>Distance!AD19*6</f>
        <v>170.916</v>
      </c>
      <c r="AE19" s="33">
        <f>Distance!AE19*6</f>
        <v>89.550000000000011</v>
      </c>
      <c r="AF19" s="33">
        <f>Distance!AF19*6</f>
        <v>243.42599999999999</v>
      </c>
      <c r="AG19" s="33">
        <f>Distance!AG19*6</f>
        <v>16.704000000000001</v>
      </c>
      <c r="AH19" s="33">
        <f>Distance!AH19*6</f>
        <v>9.5760000000000005</v>
      </c>
      <c r="AI19" s="33">
        <f>Distance!AI19*6</f>
        <v>8.363999999999999</v>
      </c>
      <c r="AJ19" s="33">
        <f>Distance!AJ19*6</f>
        <v>8.0280000000000005</v>
      </c>
      <c r="AK19" s="33">
        <f>Distance!AK19*6</f>
        <v>16.398</v>
      </c>
      <c r="AL19" s="33">
        <f>Distance!AL19*6</f>
        <v>106.05000000000001</v>
      </c>
      <c r="AM19" s="33">
        <f>Distance!AM19*6</f>
        <v>95.58</v>
      </c>
      <c r="AN19" s="33">
        <f>Distance!AN19*6</f>
        <v>153.32399999999998</v>
      </c>
      <c r="AO19" s="33">
        <f>Distance!AO19*6</f>
        <v>20.795999999999999</v>
      </c>
      <c r="AP19" s="33">
        <f>Distance!AP19*6</f>
        <v>16.866</v>
      </c>
      <c r="AQ19" s="33">
        <f>Distance!AQ19*6</f>
        <v>76.632000000000005</v>
      </c>
      <c r="AR19" s="33">
        <f>Distance!AR19*6</f>
        <v>76.391999999999996</v>
      </c>
      <c r="AS19" s="33">
        <f>Distance!AS19*6</f>
        <v>101.44800000000001</v>
      </c>
      <c r="AT19" s="33">
        <f>Distance!AT19*6</f>
        <v>188.91</v>
      </c>
      <c r="AU19" s="33">
        <f>Distance!AU19*6</f>
        <v>621.82799999999997</v>
      </c>
      <c r="AV19" s="33">
        <f>Distance!AV19*6</f>
        <v>68.25</v>
      </c>
      <c r="AW19" s="33">
        <f>Distance!AW19*6</f>
        <v>40.746000000000002</v>
      </c>
      <c r="AX19" s="33">
        <f>Distance!AX19*6</f>
        <v>236.78399999999999</v>
      </c>
      <c r="AY19" s="33">
        <f>Distance!AY19*6</f>
        <v>156.714</v>
      </c>
      <c r="AZ19" s="33">
        <f>Distance!AZ19*6</f>
        <v>294.65999999999997</v>
      </c>
    </row>
    <row r="20" spans="1:52">
      <c r="A20">
        <v>18</v>
      </c>
      <c r="B20" s="33">
        <f>Distance!B20*6</f>
        <v>10.866</v>
      </c>
      <c r="C20" s="33">
        <f>Distance!C20*6</f>
        <v>84.738</v>
      </c>
      <c r="D20" s="33">
        <f>Distance!D20*6</f>
        <v>19.277999999999999</v>
      </c>
      <c r="E20" s="33">
        <f>Distance!E20*6</f>
        <v>16.02</v>
      </c>
      <c r="F20" s="33">
        <f>Distance!F20*6</f>
        <v>21.131999999999998</v>
      </c>
      <c r="G20" s="33">
        <f>Distance!G20*6</f>
        <v>18.251999999999999</v>
      </c>
      <c r="H20" s="33">
        <f>Distance!H20*6</f>
        <v>6.8159999999999989</v>
      </c>
      <c r="I20" s="33">
        <f>Distance!I20*6</f>
        <v>19.326000000000001</v>
      </c>
      <c r="J20" s="33">
        <f>Distance!J20*6</f>
        <v>27.617999999999999</v>
      </c>
      <c r="K20" s="33">
        <f>Distance!K20*6</f>
        <v>25.998000000000001</v>
      </c>
      <c r="L20" s="33">
        <f>Distance!L20*6</f>
        <v>25.817999999999998</v>
      </c>
      <c r="M20" s="33">
        <f>Distance!M20*6</f>
        <v>21.69</v>
      </c>
      <c r="N20" s="33">
        <f>Distance!N20*6</f>
        <v>20.148</v>
      </c>
      <c r="O20" s="33">
        <f>Distance!O20*6</f>
        <v>14.399999999999999</v>
      </c>
      <c r="P20" s="33">
        <f>Distance!P20*6</f>
        <v>31.397999999999996</v>
      </c>
      <c r="Q20" s="33">
        <f>Distance!Q20*6</f>
        <v>102.384</v>
      </c>
      <c r="R20" s="33">
        <f>Distance!R20*6</f>
        <v>30.69</v>
      </c>
      <c r="S20" s="33">
        <f>Distance!S20*6</f>
        <v>19.11</v>
      </c>
      <c r="T20" s="33">
        <v>9999</v>
      </c>
      <c r="U20" s="33">
        <f>Distance!U20*6</f>
        <v>135.89999999999998</v>
      </c>
      <c r="V20" s="33">
        <f>Distance!V20*6</f>
        <v>31.397999999999996</v>
      </c>
      <c r="W20" s="33">
        <f>Distance!W20*6</f>
        <v>96.066000000000003</v>
      </c>
      <c r="X20" s="33">
        <f>Distance!X20*6</f>
        <v>20.472000000000001</v>
      </c>
      <c r="Y20" s="33">
        <f>Distance!Y20*6</f>
        <v>66.222000000000008</v>
      </c>
      <c r="Z20" s="33">
        <f>Distance!Z20*6</f>
        <v>103.94400000000002</v>
      </c>
      <c r="AA20" s="33">
        <f>Distance!AA20*6</f>
        <v>132.672</v>
      </c>
      <c r="AB20" s="33">
        <f>Distance!AB20*6</f>
        <v>176.274</v>
      </c>
      <c r="AC20" s="33">
        <f>Distance!AC20*6</f>
        <v>648.12</v>
      </c>
      <c r="AD20" s="33">
        <f>Distance!AD20*6</f>
        <v>170.47800000000001</v>
      </c>
      <c r="AE20" s="33">
        <f>Distance!AE20*6</f>
        <v>103.40400000000001</v>
      </c>
      <c r="AF20" s="33">
        <f>Distance!AF20*6</f>
        <v>242.988</v>
      </c>
      <c r="AG20" s="33">
        <f>Distance!AG20*6</f>
        <v>27.594000000000001</v>
      </c>
      <c r="AH20" s="33">
        <f>Distance!AH20*6</f>
        <v>22.577999999999999</v>
      </c>
      <c r="AI20" s="33">
        <f>Distance!AI20*6</f>
        <v>23.622</v>
      </c>
      <c r="AJ20" s="33">
        <f>Distance!AJ20*6</f>
        <v>26.675999999999998</v>
      </c>
      <c r="AK20" s="33">
        <f>Distance!AK20*6</f>
        <v>27.288</v>
      </c>
      <c r="AL20" s="33">
        <f>Distance!AL20*6</f>
        <v>102.11399999999999</v>
      </c>
      <c r="AM20" s="33">
        <f>Distance!AM20*6</f>
        <v>120.89400000000001</v>
      </c>
      <c r="AN20" s="33">
        <f>Distance!AN20*6</f>
        <v>143.91</v>
      </c>
      <c r="AO20" s="33">
        <f>Distance!AO20*6</f>
        <v>4.8420000000000005</v>
      </c>
      <c r="AP20" s="33">
        <f>Distance!AP20*6</f>
        <v>25.686</v>
      </c>
      <c r="AQ20" s="33">
        <f>Distance!AQ20*6</f>
        <v>62.496000000000002</v>
      </c>
      <c r="AR20" s="33">
        <f>Distance!AR20*6</f>
        <v>66.557999999999993</v>
      </c>
      <c r="AS20" s="33">
        <f>Distance!AS20*6</f>
        <v>85.494</v>
      </c>
      <c r="AT20" s="33">
        <f>Distance!AT20*6</f>
        <v>184.97399999999999</v>
      </c>
      <c r="AU20" s="33">
        <f>Distance!AU20*6</f>
        <v>651.654</v>
      </c>
      <c r="AV20" s="33">
        <f>Distance!AV20*6</f>
        <v>52.295999999999992</v>
      </c>
      <c r="AW20" s="33">
        <f>Distance!AW20*6</f>
        <v>24.791999999999998</v>
      </c>
      <c r="AX20" s="33">
        <f>Distance!AX20*6</f>
        <v>236.346</v>
      </c>
      <c r="AY20" s="33">
        <f>Distance!AY20*6</f>
        <v>156.27600000000001</v>
      </c>
      <c r="AZ20" s="33">
        <f>Distance!AZ20*6</f>
        <v>308.51400000000001</v>
      </c>
    </row>
    <row r="21" spans="1:52">
      <c r="A21">
        <v>19</v>
      </c>
      <c r="B21" s="33">
        <f>Distance!B21*6</f>
        <v>127.5</v>
      </c>
      <c r="C21" s="33">
        <f>Distance!C21*6</f>
        <v>201.37199999999999</v>
      </c>
      <c r="D21" s="33">
        <f>Distance!D21*6</f>
        <v>142.56</v>
      </c>
      <c r="E21" s="33">
        <f>Distance!E21*6</f>
        <v>138.60000000000002</v>
      </c>
      <c r="F21" s="33">
        <f>Distance!F21*6</f>
        <v>147.42000000000002</v>
      </c>
      <c r="G21" s="33">
        <f>Distance!G21*6</f>
        <v>134.922</v>
      </c>
      <c r="H21" s="33">
        <f>Distance!H21*6</f>
        <v>143.178</v>
      </c>
      <c r="I21" s="33">
        <f>Distance!I21*6</f>
        <v>141.91200000000001</v>
      </c>
      <c r="J21" s="33">
        <f>Distance!J21*6</f>
        <v>151.33799999999999</v>
      </c>
      <c r="K21" s="33">
        <f>Distance!K21*6</f>
        <v>143.88</v>
      </c>
      <c r="L21" s="33">
        <f>Distance!L21*6</f>
        <v>146.38800000000001</v>
      </c>
      <c r="M21" s="33">
        <f>Distance!M21*6</f>
        <v>138.35400000000001</v>
      </c>
      <c r="N21" s="33">
        <f>Distance!N21*6</f>
        <v>140.172</v>
      </c>
      <c r="O21" s="33">
        <f>Distance!O21*6</f>
        <v>137.274</v>
      </c>
      <c r="P21" s="33">
        <f>Distance!P21*6</f>
        <v>122.11800000000001</v>
      </c>
      <c r="Q21" s="33">
        <f>Distance!Q21*6</f>
        <v>199.39799999999997</v>
      </c>
      <c r="R21" s="33">
        <f>Distance!R21*6</f>
        <v>153.54</v>
      </c>
      <c r="S21" s="33">
        <f>Distance!S21*6</f>
        <v>140.57399999999998</v>
      </c>
      <c r="T21" s="33">
        <f>Distance!T21*6</f>
        <v>136.35599999999999</v>
      </c>
      <c r="U21" s="33">
        <v>9999</v>
      </c>
      <c r="V21" s="33">
        <f>Distance!V21*6</f>
        <v>122.11800000000001</v>
      </c>
      <c r="W21" s="33">
        <f>Distance!W21*6</f>
        <v>113.898</v>
      </c>
      <c r="X21" s="33">
        <f>Distance!X21*6</f>
        <v>137.10599999999999</v>
      </c>
      <c r="Y21" s="33">
        <f>Distance!Y21*6</f>
        <v>192.108</v>
      </c>
      <c r="Z21" s="33">
        <f>Distance!Z21*6</f>
        <v>41.616</v>
      </c>
      <c r="AA21" s="33">
        <f>Distance!AA21*6</f>
        <v>4.1519999999999992</v>
      </c>
      <c r="AB21" s="33">
        <f>Distance!AB21*6</f>
        <v>302.56200000000001</v>
      </c>
      <c r="AC21" s="33">
        <f>Distance!AC21*6</f>
        <v>774.40800000000013</v>
      </c>
      <c r="AD21" s="33">
        <f>Distance!AD21*6</f>
        <v>71.177999999999997</v>
      </c>
      <c r="AE21" s="33">
        <f>Distance!AE21*6</f>
        <v>176.958</v>
      </c>
      <c r="AF21" s="33">
        <f>Distance!AF21*6</f>
        <v>108.756</v>
      </c>
      <c r="AG21" s="33">
        <f>Distance!AG21*6</f>
        <v>150.44400000000002</v>
      </c>
      <c r="AH21" s="33">
        <f>Distance!AH21*6</f>
        <v>140.46</v>
      </c>
      <c r="AI21" s="33">
        <f>Distance!AI21*6</f>
        <v>146.994</v>
      </c>
      <c r="AJ21" s="33">
        <f>Distance!AJ21*6</f>
        <v>147.012</v>
      </c>
      <c r="AK21" s="33">
        <f>Distance!AK21*6</f>
        <v>150.13800000000001</v>
      </c>
      <c r="AL21" s="33">
        <f>Distance!AL21*6</f>
        <v>228.40199999999999</v>
      </c>
      <c r="AM21" s="33">
        <f>Distance!AM21*6</f>
        <v>217.90799999999999</v>
      </c>
      <c r="AN21" s="33">
        <f>Distance!AN21*6</f>
        <v>240.92400000000004</v>
      </c>
      <c r="AO21" s="33">
        <f>Distance!AO21*6</f>
        <v>132.49200000000002</v>
      </c>
      <c r="AP21" s="33">
        <f>Distance!AP21*6</f>
        <v>125.82599999999999</v>
      </c>
      <c r="AQ21" s="33">
        <f>Distance!AQ21*6</f>
        <v>188.78399999999999</v>
      </c>
      <c r="AR21" s="33">
        <f>Distance!AR21*6</f>
        <v>102.63</v>
      </c>
      <c r="AS21" s="33">
        <f>Distance!AS21*6</f>
        <v>202.12800000000001</v>
      </c>
      <c r="AT21" s="33">
        <f>Distance!AT21*6</f>
        <v>311.262</v>
      </c>
      <c r="AU21" s="33">
        <f>Distance!AU21*6</f>
        <v>777.94200000000001</v>
      </c>
      <c r="AV21" s="33">
        <f>Distance!AV21*6</f>
        <v>168.52800000000002</v>
      </c>
      <c r="AW21" s="33">
        <f>Distance!AW21*6</f>
        <v>141.42600000000002</v>
      </c>
      <c r="AX21" s="33">
        <f>Distance!AX21*6</f>
        <v>190.536</v>
      </c>
      <c r="AY21" s="33">
        <f>Distance!AY21*6</f>
        <v>56.975999999999999</v>
      </c>
      <c r="AZ21" s="33">
        <f>Distance!AZ21*6</f>
        <v>382.86599999999999</v>
      </c>
    </row>
    <row r="22" spans="1:52">
      <c r="A22">
        <v>20</v>
      </c>
      <c r="B22" s="33">
        <f>Distance!B22*6</f>
        <v>20.981999999999999</v>
      </c>
      <c r="C22" s="33">
        <f>Distance!C22*6</f>
        <v>94.853999999999999</v>
      </c>
      <c r="D22" s="33">
        <f>Distance!D22*6</f>
        <v>36.69</v>
      </c>
      <c r="E22" s="33">
        <f>Distance!E22*6</f>
        <v>32.730000000000004</v>
      </c>
      <c r="F22" s="33">
        <f>Distance!F22*6</f>
        <v>40.902000000000001</v>
      </c>
      <c r="G22" s="33">
        <f>Distance!G22*6</f>
        <v>29.052</v>
      </c>
      <c r="H22" s="33">
        <f>Distance!H22*6</f>
        <v>36.192</v>
      </c>
      <c r="I22" s="33">
        <f>Distance!I22*6</f>
        <v>36.042000000000002</v>
      </c>
      <c r="J22" s="33">
        <f>Distance!J22*6</f>
        <v>45.468000000000004</v>
      </c>
      <c r="K22" s="33">
        <f>Distance!K22*6</f>
        <v>38.01</v>
      </c>
      <c r="L22" s="33">
        <f>Distance!L22*6</f>
        <v>40.518000000000001</v>
      </c>
      <c r="M22" s="33">
        <f>Distance!M22*6</f>
        <v>32.483999999999995</v>
      </c>
      <c r="N22" s="33">
        <f>Distance!N22*6</f>
        <v>34.302</v>
      </c>
      <c r="O22" s="33">
        <f>Distance!O22*6</f>
        <v>13.511999999999999</v>
      </c>
      <c r="P22" s="33">
        <f>Distance!P22*6</f>
        <v>0</v>
      </c>
      <c r="Q22" s="33">
        <f>Distance!Q22*6</f>
        <v>96.713999999999999</v>
      </c>
      <c r="R22" s="33">
        <f>Distance!R22*6</f>
        <v>47.67</v>
      </c>
      <c r="S22" s="33">
        <f>Distance!S22*6</f>
        <v>34.704000000000001</v>
      </c>
      <c r="T22" s="33">
        <f>Distance!T22*6</f>
        <v>30.486000000000004</v>
      </c>
      <c r="U22" s="33">
        <f>Distance!U22*6</f>
        <v>123.96600000000001</v>
      </c>
      <c r="V22" s="33">
        <v>9999</v>
      </c>
      <c r="W22" s="33">
        <f>Distance!W22*6</f>
        <v>113.39400000000001</v>
      </c>
      <c r="X22" s="33">
        <f>Distance!X22*6</f>
        <v>30.588000000000001</v>
      </c>
      <c r="Y22" s="33">
        <f>Distance!Y22*6</f>
        <v>85.992000000000004</v>
      </c>
      <c r="Z22" s="33">
        <f>Distance!Z22*6</f>
        <v>85.793999999999997</v>
      </c>
      <c r="AA22" s="33">
        <f>Distance!AA22*6</f>
        <v>114.52199999999999</v>
      </c>
      <c r="AB22" s="33">
        <f>Distance!AB22*6</f>
        <v>196.04399999999998</v>
      </c>
      <c r="AC22" s="33">
        <f>Distance!AC22*6</f>
        <v>667.89</v>
      </c>
      <c r="AD22" s="33">
        <f>Distance!AD22*6</f>
        <v>158.54399999999998</v>
      </c>
      <c r="AE22" s="33">
        <f>Distance!AE22*6</f>
        <v>97.734000000000009</v>
      </c>
      <c r="AF22" s="33">
        <f>Distance!AF22*6</f>
        <v>224.83799999999999</v>
      </c>
      <c r="AG22" s="33">
        <f>Distance!AG22*6</f>
        <v>44.573999999999998</v>
      </c>
      <c r="AH22" s="33">
        <f>Distance!AH22*6</f>
        <v>34.589999999999996</v>
      </c>
      <c r="AI22" s="33">
        <f>Distance!AI22*6</f>
        <v>41.124000000000002</v>
      </c>
      <c r="AJ22" s="33">
        <f>Distance!AJ22*6</f>
        <v>41.142000000000003</v>
      </c>
      <c r="AK22" s="33">
        <f>Distance!AK22*6</f>
        <v>44.268000000000001</v>
      </c>
      <c r="AL22" s="33">
        <f>Distance!AL22*6</f>
        <v>121.884</v>
      </c>
      <c r="AM22" s="33">
        <f>Distance!AM22*6</f>
        <v>115.224</v>
      </c>
      <c r="AN22" s="33">
        <f>Distance!AN22*6</f>
        <v>138.24</v>
      </c>
      <c r="AO22" s="33">
        <f>Distance!AO22*6</f>
        <v>26.622</v>
      </c>
      <c r="AP22" s="33">
        <f>Distance!AP22*6</f>
        <v>19.956</v>
      </c>
      <c r="AQ22" s="33">
        <f>Distance!AQ22*6</f>
        <v>82.266000000000005</v>
      </c>
      <c r="AR22" s="33">
        <f>Distance!AR22*6</f>
        <v>50.885999999999996</v>
      </c>
      <c r="AS22" s="33">
        <f>Distance!AS22*6</f>
        <v>95.61</v>
      </c>
      <c r="AT22" s="33">
        <f>Distance!AT22*6</f>
        <v>204.74400000000003</v>
      </c>
      <c r="AU22" s="33">
        <f>Distance!AU22*6</f>
        <v>671.42399999999998</v>
      </c>
      <c r="AV22" s="33">
        <f>Distance!AV22*6</f>
        <v>62.411999999999992</v>
      </c>
      <c r="AW22" s="33">
        <f>Distance!AW22*6</f>
        <v>34.908000000000001</v>
      </c>
      <c r="AX22" s="33">
        <f>Distance!AX22*6</f>
        <v>218.196</v>
      </c>
      <c r="AY22" s="33">
        <f>Distance!AY22*6</f>
        <v>138.126</v>
      </c>
      <c r="AZ22" s="33">
        <f>Distance!AZ22*6</f>
        <v>302.84399999999999</v>
      </c>
    </row>
    <row r="23" spans="1:52">
      <c r="A23">
        <v>21</v>
      </c>
      <c r="B23" s="33">
        <f>Distance!B23*6</f>
        <v>98.274000000000001</v>
      </c>
      <c r="C23" s="33">
        <f>Distance!C23*6</f>
        <v>172.14599999999999</v>
      </c>
      <c r="D23" s="33">
        <f>Distance!D23*6</f>
        <v>96.275999999999996</v>
      </c>
      <c r="E23" s="33">
        <f>Distance!E23*6</f>
        <v>108.492</v>
      </c>
      <c r="F23" s="33">
        <f>Distance!F23*6</f>
        <v>112.27800000000001</v>
      </c>
      <c r="G23" s="33">
        <f>Distance!G23*6</f>
        <v>89.075999999999993</v>
      </c>
      <c r="H23" s="33">
        <f>Distance!H23*6</f>
        <v>103.602</v>
      </c>
      <c r="I23" s="33">
        <f>Distance!I23*6</f>
        <v>113.172</v>
      </c>
      <c r="J23" s="33">
        <f>Distance!J23*6</f>
        <v>98.399999999999991</v>
      </c>
      <c r="K23" s="33">
        <f>Distance!K23*6</f>
        <v>85.949999999999989</v>
      </c>
      <c r="L23" s="33">
        <f>Distance!L23*6</f>
        <v>81.239999999999995</v>
      </c>
      <c r="M23" s="33">
        <f>Distance!M23*6</f>
        <v>89.76</v>
      </c>
      <c r="N23" s="33">
        <f>Distance!N23*6</f>
        <v>89.454000000000008</v>
      </c>
      <c r="O23" s="33">
        <f>Distance!O23*6</f>
        <v>97.626000000000005</v>
      </c>
      <c r="P23" s="33">
        <f>Distance!P23*6</f>
        <v>92.603999999999999</v>
      </c>
      <c r="Q23" s="33">
        <f>Distance!Q23*6</f>
        <v>121.374</v>
      </c>
      <c r="R23" s="33">
        <f>Distance!R23*6</f>
        <v>87.665999999999997</v>
      </c>
      <c r="S23" s="33">
        <f>Distance!S23*6</f>
        <v>94.289999999999992</v>
      </c>
      <c r="T23" s="33">
        <f>Distance!T23*6</f>
        <v>96.78</v>
      </c>
      <c r="U23" s="33">
        <f>Distance!U23*6</f>
        <v>112.93199999999999</v>
      </c>
      <c r="V23" s="33">
        <f>Distance!V23*6</f>
        <v>92.603999999999999</v>
      </c>
      <c r="W23" s="33">
        <v>9999</v>
      </c>
      <c r="X23" s="33">
        <f>Distance!X23*6</f>
        <v>107.88</v>
      </c>
      <c r="Y23" s="33">
        <f>Distance!Y23*6</f>
        <v>192.89400000000001</v>
      </c>
      <c r="Z23" s="33">
        <f>Distance!Z23*6</f>
        <v>80.975999999999999</v>
      </c>
      <c r="AA23" s="33">
        <f>Distance!AA23*6</f>
        <v>109.70399999999999</v>
      </c>
      <c r="AB23" s="33">
        <f>Distance!AB23*6</f>
        <v>296.23199999999997</v>
      </c>
      <c r="AC23" s="33">
        <f>Distance!AC23*6</f>
        <v>734.11200000000008</v>
      </c>
      <c r="AD23" s="33">
        <f>Distance!AD23*6</f>
        <v>147.51</v>
      </c>
      <c r="AE23" s="33">
        <f>Distance!AE23*6</f>
        <v>98.933999999999997</v>
      </c>
      <c r="AF23" s="33">
        <f>Distance!AF23*6</f>
        <v>220.02</v>
      </c>
      <c r="AG23" s="33">
        <f>Distance!AG23*6</f>
        <v>84.570000000000007</v>
      </c>
      <c r="AH23" s="33">
        <f>Distance!AH23*6</f>
        <v>87.521999999999991</v>
      </c>
      <c r="AI23" s="33">
        <f>Distance!AI23*6</f>
        <v>97.974000000000004</v>
      </c>
      <c r="AJ23" s="33">
        <f>Distance!AJ23*6</f>
        <v>94.073999999999998</v>
      </c>
      <c r="AK23" s="33">
        <f>Distance!AK23*6</f>
        <v>84.26400000000001</v>
      </c>
      <c r="AL23" s="33">
        <f>Distance!AL23*6</f>
        <v>228.786</v>
      </c>
      <c r="AM23" s="33">
        <f>Distance!AM23*6</f>
        <v>139.88400000000001</v>
      </c>
      <c r="AN23" s="33">
        <f>Distance!AN23*6</f>
        <v>162.89999999999998</v>
      </c>
      <c r="AO23" s="33">
        <f>Distance!AO23*6</f>
        <v>92.843999999999994</v>
      </c>
      <c r="AP23" s="33">
        <f>Distance!AP23*6</f>
        <v>78.731999999999999</v>
      </c>
      <c r="AQ23" s="33">
        <f>Distance!AQ23*6</f>
        <v>189.16800000000001</v>
      </c>
      <c r="AR23" s="33">
        <f>Distance!AR23*6</f>
        <v>94.908000000000001</v>
      </c>
      <c r="AS23" s="33">
        <f>Distance!AS23*6</f>
        <v>172.90199999999999</v>
      </c>
      <c r="AT23" s="33">
        <f>Distance!AT23*6</f>
        <v>311.64600000000002</v>
      </c>
      <c r="AU23" s="33">
        <f>Distance!AU23*6</f>
        <v>737.64599999999996</v>
      </c>
      <c r="AV23" s="33">
        <f>Distance!AV23*6</f>
        <v>139.70400000000001</v>
      </c>
      <c r="AW23" s="33">
        <f>Distance!AW23*6</f>
        <v>112.19999999999999</v>
      </c>
      <c r="AX23" s="33">
        <f>Distance!AX23*6</f>
        <v>150.52199999999999</v>
      </c>
      <c r="AY23" s="33">
        <f>Distance!AY23*6</f>
        <v>133.30799999999999</v>
      </c>
      <c r="AZ23" s="33">
        <f>Distance!AZ23*6</f>
        <v>304.84199999999998</v>
      </c>
    </row>
    <row r="24" spans="1:52">
      <c r="A24">
        <v>22</v>
      </c>
      <c r="B24" s="33">
        <f>Distance!B24*6</f>
        <v>12.504000000000001</v>
      </c>
      <c r="C24" s="33">
        <f>Distance!C24*6</f>
        <v>65.802000000000007</v>
      </c>
      <c r="D24" s="33">
        <f>Distance!D24*6</f>
        <v>35.448</v>
      </c>
      <c r="E24" s="33">
        <f>Distance!E24*6</f>
        <v>32.19</v>
      </c>
      <c r="F24" s="33">
        <f>Distance!F24*6</f>
        <v>29.357999999999997</v>
      </c>
      <c r="G24" s="33">
        <f>Distance!G24*6</f>
        <v>32.718000000000004</v>
      </c>
      <c r="H24" s="33">
        <f>Distance!H24*6</f>
        <v>24.647999999999996</v>
      </c>
      <c r="I24" s="33">
        <f>Distance!I24*6</f>
        <v>35.501999999999995</v>
      </c>
      <c r="J24" s="33">
        <f>Distance!J24*6</f>
        <v>46.2</v>
      </c>
      <c r="K24" s="33">
        <f>Distance!K24*6</f>
        <v>40.463999999999999</v>
      </c>
      <c r="L24" s="33">
        <f>Distance!L24*6</f>
        <v>55.457999999999998</v>
      </c>
      <c r="M24" s="33">
        <f>Distance!M24*6</f>
        <v>36.900000000000006</v>
      </c>
      <c r="N24" s="33">
        <f>Distance!N24*6</f>
        <v>34.614000000000004</v>
      </c>
      <c r="O24" s="33">
        <f>Distance!O24*6</f>
        <v>23.658000000000001</v>
      </c>
      <c r="P24" s="33">
        <f>Distance!P24*6</f>
        <v>29.411999999999999</v>
      </c>
      <c r="Q24" s="33">
        <f>Distance!Q24*6</f>
        <v>111.642</v>
      </c>
      <c r="R24" s="33">
        <f>Distance!R24*6</f>
        <v>45.155999999999999</v>
      </c>
      <c r="S24" s="33">
        <f>Distance!S24*6</f>
        <v>35.28</v>
      </c>
      <c r="T24" s="33">
        <f>Distance!T24*6</f>
        <v>19.11</v>
      </c>
      <c r="U24" s="33">
        <f>Distance!U24*6</f>
        <v>135.22800000000001</v>
      </c>
      <c r="V24" s="33">
        <f>Distance!V24*6</f>
        <v>29.411999999999999</v>
      </c>
      <c r="W24" s="33">
        <f>Distance!W24*6</f>
        <v>105.32399999999998</v>
      </c>
      <c r="X24" s="33">
        <v>9999</v>
      </c>
      <c r="Y24" s="33">
        <f>Distance!Y24*6</f>
        <v>74.447999999999993</v>
      </c>
      <c r="Z24" s="33">
        <f>Distance!Z24*6</f>
        <v>103.27199999999999</v>
      </c>
      <c r="AA24" s="33">
        <f>Distance!AA24*6</f>
        <v>132</v>
      </c>
      <c r="AB24" s="33">
        <f>Distance!AB24*6</f>
        <v>184.5</v>
      </c>
      <c r="AC24" s="33">
        <f>Distance!AC24*6</f>
        <v>656.346</v>
      </c>
      <c r="AD24" s="33">
        <f>Distance!AD24*6</f>
        <v>169.80599999999998</v>
      </c>
      <c r="AE24" s="33">
        <f>Distance!AE24*6</f>
        <v>112.66200000000001</v>
      </c>
      <c r="AF24" s="33">
        <f>Distance!AF24*6</f>
        <v>242.31600000000003</v>
      </c>
      <c r="AG24" s="33">
        <f>Distance!AG24*6</f>
        <v>42.06</v>
      </c>
      <c r="AH24" s="33">
        <f>Distance!AH24*6</f>
        <v>37.044000000000004</v>
      </c>
      <c r="AI24" s="33">
        <f>Distance!AI24*6</f>
        <v>41.094000000000001</v>
      </c>
      <c r="AJ24" s="33">
        <f>Distance!AJ24*6</f>
        <v>44.147999999999996</v>
      </c>
      <c r="AK24" s="33">
        <f>Distance!AK24*6</f>
        <v>41.753999999999998</v>
      </c>
      <c r="AL24" s="33">
        <f>Distance!AL24*6</f>
        <v>110.34</v>
      </c>
      <c r="AM24" s="33">
        <f>Distance!AM24*6</f>
        <v>130.15199999999999</v>
      </c>
      <c r="AN24" s="33">
        <f>Distance!AN24*6</f>
        <v>153.16800000000001</v>
      </c>
      <c r="AO24" s="33">
        <f>Distance!AO24*6</f>
        <v>15.114000000000001</v>
      </c>
      <c r="AP24" s="33">
        <f>Distance!AP24*6</f>
        <v>34.944000000000003</v>
      </c>
      <c r="AQ24" s="33">
        <f>Distance!AQ24*6</f>
        <v>70.722000000000008</v>
      </c>
      <c r="AR24" s="33">
        <f>Distance!AR24*6</f>
        <v>64.710000000000008</v>
      </c>
      <c r="AS24" s="33">
        <f>Distance!AS24*6</f>
        <v>66.557999999999993</v>
      </c>
      <c r="AT24" s="33">
        <f>Distance!AT24*6</f>
        <v>193.20000000000002</v>
      </c>
      <c r="AU24" s="33">
        <f>Distance!AU24*6</f>
        <v>659.88</v>
      </c>
      <c r="AV24" s="33">
        <f>Distance!AV24*6</f>
        <v>33.36</v>
      </c>
      <c r="AW24" s="33">
        <f>Distance!AW24*6</f>
        <v>6.0839999999999996</v>
      </c>
      <c r="AX24" s="33">
        <f>Distance!AX24*6</f>
        <v>235.67400000000004</v>
      </c>
      <c r="AY24" s="33">
        <f>Distance!AY24*6</f>
        <v>155.60400000000001</v>
      </c>
      <c r="AZ24" s="33">
        <f>Distance!AZ24*6</f>
        <v>317.77200000000005</v>
      </c>
    </row>
    <row r="25" spans="1:52">
      <c r="A25">
        <v>23</v>
      </c>
      <c r="B25" s="33">
        <f>Distance!B25*6</f>
        <v>66.233999999999995</v>
      </c>
      <c r="C25" s="33">
        <f>Distance!C25*6</f>
        <v>140.10599999999999</v>
      </c>
      <c r="D25" s="33">
        <f>Distance!D25*6</f>
        <v>77.286000000000001</v>
      </c>
      <c r="E25" s="33">
        <f>Distance!E25*6</f>
        <v>74.027999999999992</v>
      </c>
      <c r="F25" s="33">
        <f>Distance!F25*6</f>
        <v>55.362000000000002</v>
      </c>
      <c r="G25" s="33">
        <f>Distance!G25*6</f>
        <v>84.738</v>
      </c>
      <c r="H25" s="33">
        <f>Distance!H25*6</f>
        <v>61.494</v>
      </c>
      <c r="I25" s="33">
        <f>Distance!I25*6</f>
        <v>72.246000000000009</v>
      </c>
      <c r="J25" s="33">
        <f>Distance!J25*6</f>
        <v>63.876000000000005</v>
      </c>
      <c r="K25" s="33">
        <f>Distance!K25*6</f>
        <v>88.757999999999996</v>
      </c>
      <c r="L25" s="33">
        <f>Distance!L25*6</f>
        <v>92.748000000000005</v>
      </c>
      <c r="M25" s="33">
        <f>Distance!M25*6</f>
        <v>79.697999999999993</v>
      </c>
      <c r="N25" s="33">
        <f>Distance!N25*6</f>
        <v>79.44</v>
      </c>
      <c r="O25" s="33">
        <f>Distance!O25*6</f>
        <v>80.873999999999995</v>
      </c>
      <c r="P25" s="33">
        <f>Distance!P25*6</f>
        <v>86.628</v>
      </c>
      <c r="Q25" s="33">
        <f>Distance!Q25*6</f>
        <v>139.44</v>
      </c>
      <c r="R25" s="33">
        <f>Distance!R25*6</f>
        <v>86.472000000000008</v>
      </c>
      <c r="S25" s="33">
        <f>Distance!S25*6</f>
        <v>78.858000000000004</v>
      </c>
      <c r="T25" s="33">
        <f>Distance!T25*6</f>
        <v>66.606000000000009</v>
      </c>
      <c r="U25" s="33">
        <f>Distance!U25*6</f>
        <v>192.44399999999999</v>
      </c>
      <c r="V25" s="33">
        <f>Distance!V25*6</f>
        <v>86.628</v>
      </c>
      <c r="W25" s="33">
        <f>Distance!W25*6</f>
        <v>192.87</v>
      </c>
      <c r="X25" s="33">
        <f>Distance!X25*6</f>
        <v>75.84</v>
      </c>
      <c r="Y25" s="33">
        <v>9999</v>
      </c>
      <c r="Z25" s="33">
        <f>Distance!Z25*6</f>
        <v>160.488</v>
      </c>
      <c r="AA25" s="33">
        <f>Distance!AA25*6</f>
        <v>189.21600000000001</v>
      </c>
      <c r="AB25" s="33">
        <f>Distance!AB25*6</f>
        <v>119.316</v>
      </c>
      <c r="AC25" s="33">
        <f>Distance!AC25*6</f>
        <v>607.08600000000001</v>
      </c>
      <c r="AD25" s="33">
        <f>Distance!AD25*6</f>
        <v>227.02200000000002</v>
      </c>
      <c r="AE25" s="33">
        <f>Distance!AE25*6</f>
        <v>164.47800000000001</v>
      </c>
      <c r="AF25" s="33">
        <f>Distance!AF25*6</f>
        <v>299.53199999999998</v>
      </c>
      <c r="AG25" s="33">
        <f>Distance!AG25*6</f>
        <v>90.438000000000002</v>
      </c>
      <c r="AH25" s="33">
        <f>Distance!AH25*6</f>
        <v>86.988</v>
      </c>
      <c r="AI25" s="33">
        <f>Distance!AI25*6</f>
        <v>75.671999999999997</v>
      </c>
      <c r="AJ25" s="33">
        <f>Distance!AJ25*6</f>
        <v>78.725999999999999</v>
      </c>
      <c r="AK25" s="33">
        <f>Distance!AK25*6</f>
        <v>90.132000000000005</v>
      </c>
      <c r="AL25" s="33">
        <f>Distance!AL25*6</f>
        <v>61.08</v>
      </c>
      <c r="AM25" s="33">
        <f>Distance!AM25*6</f>
        <v>157.94999999999999</v>
      </c>
      <c r="AN25" s="33">
        <f>Distance!AN25*6</f>
        <v>182.322</v>
      </c>
      <c r="AO25" s="33">
        <f>Distance!AO25*6</f>
        <v>65.352000000000004</v>
      </c>
      <c r="AP25" s="33">
        <f>Distance!AP25*6</f>
        <v>92.16</v>
      </c>
      <c r="AQ25" s="33">
        <f>Distance!AQ25*6</f>
        <v>7.0679999999999996</v>
      </c>
      <c r="AR25" s="33">
        <f>Distance!AR25*6</f>
        <v>121.92600000000002</v>
      </c>
      <c r="AS25" s="33">
        <f>Distance!AS25*6</f>
        <v>140.86199999999999</v>
      </c>
      <c r="AT25" s="33">
        <f>Distance!AT25*6</f>
        <v>143.94</v>
      </c>
      <c r="AU25" s="33">
        <f>Distance!AU25*6</f>
        <v>610.62</v>
      </c>
      <c r="AV25" s="33">
        <f>Distance!AV25*6</f>
        <v>107.66399999999999</v>
      </c>
      <c r="AW25" s="33">
        <f>Distance!AW25*6</f>
        <v>80.16</v>
      </c>
      <c r="AX25" s="33">
        <f>Distance!AX25*6</f>
        <v>292.89</v>
      </c>
      <c r="AY25" s="33">
        <f>Distance!AY25*6</f>
        <v>219.00599999999997</v>
      </c>
      <c r="AZ25" s="33">
        <f>Distance!AZ25*6</f>
        <v>388.23</v>
      </c>
    </row>
    <row r="26" spans="1:52">
      <c r="A26">
        <v>24</v>
      </c>
      <c r="B26" s="33">
        <f>Distance!B26*6</f>
        <v>95.537999999999997</v>
      </c>
      <c r="C26" s="33">
        <f>Distance!C26*6</f>
        <v>169.41</v>
      </c>
      <c r="D26" s="33">
        <f>Distance!D26*6</f>
        <v>110.598</v>
      </c>
      <c r="E26" s="33">
        <f>Distance!E26*6</f>
        <v>106.63800000000001</v>
      </c>
      <c r="F26" s="33">
        <f>Distance!F26*6</f>
        <v>115.458</v>
      </c>
      <c r="G26" s="33">
        <f>Distance!G26*6</f>
        <v>102.96000000000001</v>
      </c>
      <c r="H26" s="33">
        <f>Distance!H26*6</f>
        <v>111.21600000000001</v>
      </c>
      <c r="I26" s="33">
        <f>Distance!I26*6</f>
        <v>109.94999999999999</v>
      </c>
      <c r="J26" s="33">
        <f>Distance!J26*6</f>
        <v>119.376</v>
      </c>
      <c r="K26" s="33">
        <f>Distance!K26*6</f>
        <v>111.91799999999999</v>
      </c>
      <c r="L26" s="33">
        <f>Distance!L26*6</f>
        <v>114.42600000000002</v>
      </c>
      <c r="M26" s="33">
        <f>Distance!M26*6</f>
        <v>106.392</v>
      </c>
      <c r="N26" s="33">
        <f>Distance!N26*6</f>
        <v>108.21000000000001</v>
      </c>
      <c r="O26" s="33">
        <f>Distance!O26*6</f>
        <v>105.312</v>
      </c>
      <c r="P26" s="33">
        <f>Distance!P26*6</f>
        <v>90.138000000000005</v>
      </c>
      <c r="Q26" s="33">
        <f>Distance!Q26*6</f>
        <v>167.41800000000001</v>
      </c>
      <c r="R26" s="33">
        <f>Distance!R26*6</f>
        <v>121.578</v>
      </c>
      <c r="S26" s="33">
        <f>Distance!S26*6</f>
        <v>108.61199999999999</v>
      </c>
      <c r="T26" s="33">
        <f>Distance!T26*6</f>
        <v>104.39400000000001</v>
      </c>
      <c r="U26" s="33">
        <f>Distance!U26*6</f>
        <v>41.61</v>
      </c>
      <c r="V26" s="33">
        <f>Distance!V26*6</f>
        <v>90.156000000000006</v>
      </c>
      <c r="W26" s="33">
        <f>Distance!W26*6</f>
        <v>81.936000000000007</v>
      </c>
      <c r="X26" s="33">
        <f>Distance!X26*6</f>
        <v>105.14400000000001</v>
      </c>
      <c r="Y26" s="33">
        <f>Distance!Y26*6</f>
        <v>160.548</v>
      </c>
      <c r="Z26" s="33">
        <v>9999</v>
      </c>
      <c r="AA26" s="33">
        <f>Distance!AA26*6</f>
        <v>38.382000000000005</v>
      </c>
      <c r="AB26" s="33">
        <f>Distance!AB26*6</f>
        <v>270.60000000000002</v>
      </c>
      <c r="AC26" s="33">
        <f>Distance!AC26*6</f>
        <v>742.44600000000003</v>
      </c>
      <c r="AD26" s="33">
        <f>Distance!AD26*6</f>
        <v>76.188000000000002</v>
      </c>
      <c r="AE26" s="33">
        <f>Distance!AE26*6</f>
        <v>144.99600000000001</v>
      </c>
      <c r="AF26" s="33">
        <f>Distance!AF26*6</f>
        <v>148.69800000000001</v>
      </c>
      <c r="AG26" s="33">
        <f>Distance!AG26*6</f>
        <v>118.482</v>
      </c>
      <c r="AH26" s="33">
        <f>Distance!AH26*6</f>
        <v>108.49799999999999</v>
      </c>
      <c r="AI26" s="33">
        <f>Distance!AI26*6</f>
        <v>115.03200000000001</v>
      </c>
      <c r="AJ26" s="33">
        <f>Distance!AJ26*6</f>
        <v>115.05000000000001</v>
      </c>
      <c r="AK26" s="33">
        <f>Distance!AK26*6</f>
        <v>116.68199999999999</v>
      </c>
      <c r="AL26" s="33">
        <f>Distance!AL26*6</f>
        <v>196.44</v>
      </c>
      <c r="AM26" s="33">
        <f>Distance!AM26*6</f>
        <v>185.946</v>
      </c>
      <c r="AN26" s="33">
        <f>Distance!AN26*6</f>
        <v>208.96199999999999</v>
      </c>
      <c r="AO26" s="33">
        <f>Distance!AO26*6</f>
        <v>100.53</v>
      </c>
      <c r="AP26" s="33">
        <f>Distance!AP26*6</f>
        <v>93.864000000000004</v>
      </c>
      <c r="AQ26" s="33">
        <f>Distance!AQ26*6</f>
        <v>156.822</v>
      </c>
      <c r="AR26" s="33">
        <f>Distance!AR26*6</f>
        <v>70.668000000000006</v>
      </c>
      <c r="AS26" s="33">
        <f>Distance!AS26*6</f>
        <v>170.166</v>
      </c>
      <c r="AT26" s="33">
        <f>Distance!AT26*6</f>
        <v>279.29999999999995</v>
      </c>
      <c r="AU26" s="33">
        <f>Distance!AU26*6</f>
        <v>745.98</v>
      </c>
      <c r="AV26" s="33">
        <f>Distance!AV26*6</f>
        <v>136.96799999999999</v>
      </c>
      <c r="AW26" s="33">
        <f>Distance!AW26*6</f>
        <v>109.464</v>
      </c>
      <c r="AX26" s="33">
        <f>Distance!AX26*6</f>
        <v>158.57399999999998</v>
      </c>
      <c r="AY26" s="33">
        <f>Distance!AY26*6</f>
        <v>61.985999999999997</v>
      </c>
      <c r="AZ26" s="33">
        <f>Distance!AZ26*6</f>
        <v>350.904</v>
      </c>
    </row>
    <row r="27" spans="1:52">
      <c r="A27">
        <v>25</v>
      </c>
      <c r="B27" s="33">
        <f>Distance!B27*6</f>
        <v>124.27199999999999</v>
      </c>
      <c r="C27" s="33">
        <f>Distance!C27*6</f>
        <v>198.14400000000001</v>
      </c>
      <c r="D27" s="33">
        <f>Distance!D27*6</f>
        <v>139.33199999999999</v>
      </c>
      <c r="E27" s="33">
        <f>Distance!E27*6</f>
        <v>135.37200000000001</v>
      </c>
      <c r="F27" s="33">
        <f>Distance!F27*6</f>
        <v>144.19200000000001</v>
      </c>
      <c r="G27" s="33">
        <f>Distance!G27*6</f>
        <v>131.69400000000002</v>
      </c>
      <c r="H27" s="33">
        <f>Distance!H27*6</f>
        <v>139.94999999999999</v>
      </c>
      <c r="I27" s="33">
        <f>Distance!I27*6</f>
        <v>138.684</v>
      </c>
      <c r="J27" s="33">
        <f>Distance!J27*6</f>
        <v>148.10999999999999</v>
      </c>
      <c r="K27" s="33">
        <f>Distance!K27*6</f>
        <v>140.65199999999999</v>
      </c>
      <c r="L27" s="33">
        <f>Distance!L27*6</f>
        <v>143.16</v>
      </c>
      <c r="M27" s="33">
        <f>Distance!M27*6</f>
        <v>135.126</v>
      </c>
      <c r="N27" s="33">
        <f>Distance!N27*6</f>
        <v>136.94400000000002</v>
      </c>
      <c r="O27" s="33">
        <f>Distance!O27*6</f>
        <v>125.83200000000001</v>
      </c>
      <c r="P27" s="33">
        <f>Distance!P27*6</f>
        <v>118.89000000000001</v>
      </c>
      <c r="Q27" s="33">
        <f>Distance!Q27*6</f>
        <v>196.17000000000002</v>
      </c>
      <c r="R27" s="33">
        <f>Distance!R27*6</f>
        <v>148.434</v>
      </c>
      <c r="S27" s="33">
        <f>Distance!S27*6</f>
        <v>137.346</v>
      </c>
      <c r="T27" s="33">
        <f>Distance!T27*6</f>
        <v>133.12799999999999</v>
      </c>
      <c r="U27" s="33">
        <f>Distance!U27*6</f>
        <v>4.1519999999999992</v>
      </c>
      <c r="V27" s="33">
        <f>Distance!V27*6</f>
        <v>118.89000000000001</v>
      </c>
      <c r="W27" s="33">
        <f>Distance!W27*6</f>
        <v>110.67</v>
      </c>
      <c r="X27" s="33">
        <f>Distance!X27*6</f>
        <v>133.87799999999999</v>
      </c>
      <c r="Y27" s="33">
        <f>Distance!Y27*6</f>
        <v>189.28200000000001</v>
      </c>
      <c r="Z27" s="33">
        <f>Distance!Z27*6</f>
        <v>38.387999999999998</v>
      </c>
      <c r="AA27" s="33">
        <v>9999</v>
      </c>
      <c r="AB27" s="33">
        <f>Distance!AB27*6</f>
        <v>299.334</v>
      </c>
      <c r="AC27" s="33">
        <f>Distance!AC27*6</f>
        <v>771.18000000000006</v>
      </c>
      <c r="AD27" s="33">
        <f>Distance!AD27*6</f>
        <v>67.949999999999989</v>
      </c>
      <c r="AE27" s="33">
        <f>Distance!AE27*6</f>
        <v>173.73</v>
      </c>
      <c r="AF27" s="33">
        <f>Distance!AF27*6</f>
        <v>112.90800000000002</v>
      </c>
      <c r="AG27" s="33">
        <f>Distance!AG27*6</f>
        <v>147.21600000000001</v>
      </c>
      <c r="AH27" s="33">
        <f>Distance!AH27*6</f>
        <v>137.232</v>
      </c>
      <c r="AI27" s="33">
        <f>Distance!AI27*6</f>
        <v>143.76599999999999</v>
      </c>
      <c r="AJ27" s="33">
        <f>Distance!AJ27*6</f>
        <v>143.78399999999999</v>
      </c>
      <c r="AK27" s="33">
        <f>Distance!AK27*6</f>
        <v>146.91</v>
      </c>
      <c r="AL27" s="33">
        <f>Distance!AL27*6</f>
        <v>225.17400000000004</v>
      </c>
      <c r="AM27" s="33">
        <f>Distance!AM27*6</f>
        <v>214.68</v>
      </c>
      <c r="AN27" s="33">
        <f>Distance!AN27*6</f>
        <v>237.696</v>
      </c>
      <c r="AO27" s="33">
        <f>Distance!AO27*6</f>
        <v>129.26400000000001</v>
      </c>
      <c r="AP27" s="33">
        <f>Distance!AP27*6</f>
        <v>122.598</v>
      </c>
      <c r="AQ27" s="33">
        <f>Distance!AQ27*6</f>
        <v>185.55599999999998</v>
      </c>
      <c r="AR27" s="33">
        <f>Distance!AR27*6</f>
        <v>99.402000000000001</v>
      </c>
      <c r="AS27" s="33">
        <f>Distance!AS27*6</f>
        <v>198.89999999999998</v>
      </c>
      <c r="AT27" s="33">
        <f>Distance!AT27*6</f>
        <v>308.03399999999999</v>
      </c>
      <c r="AU27" s="33">
        <f>Distance!AU27*6</f>
        <v>774.3119999999999</v>
      </c>
      <c r="AV27" s="33">
        <f>Distance!AV27*6</f>
        <v>165.702</v>
      </c>
      <c r="AW27" s="33">
        <f>Distance!AW27*6</f>
        <v>138.19800000000001</v>
      </c>
      <c r="AX27" s="33">
        <f>Distance!AX27*6</f>
        <v>187.30799999999999</v>
      </c>
      <c r="AY27" s="33">
        <f>Distance!AY27*6</f>
        <v>53.748000000000005</v>
      </c>
      <c r="AZ27" s="33">
        <f>Distance!AZ27*6</f>
        <v>379.63800000000003</v>
      </c>
    </row>
    <row r="28" spans="1:52">
      <c r="A28">
        <v>26</v>
      </c>
      <c r="B28" s="33">
        <f>Distance!B28*6</f>
        <v>175.578</v>
      </c>
      <c r="C28" s="33">
        <f>Distance!C28*6</f>
        <v>249.45000000000002</v>
      </c>
      <c r="D28" s="33">
        <f>Distance!D28*6</f>
        <v>180.49200000000002</v>
      </c>
      <c r="E28" s="33">
        <f>Distance!E28*6</f>
        <v>177.23400000000001</v>
      </c>
      <c r="F28" s="33">
        <f>Distance!F28*6</f>
        <v>164.70600000000002</v>
      </c>
      <c r="G28" s="33">
        <f>Distance!G28*6</f>
        <v>187.94400000000002</v>
      </c>
      <c r="H28" s="33">
        <f>Distance!H28*6</f>
        <v>170.83799999999999</v>
      </c>
      <c r="I28" s="33">
        <f>Distance!I28*6</f>
        <v>175.452</v>
      </c>
      <c r="J28" s="33">
        <f>Distance!J28*6</f>
        <v>167.08199999999999</v>
      </c>
      <c r="K28" s="33">
        <f>Distance!K28*6</f>
        <v>198.10200000000003</v>
      </c>
      <c r="L28" s="33">
        <f>Distance!L28*6</f>
        <v>241.59</v>
      </c>
      <c r="M28" s="33">
        <f>Distance!M28*6</f>
        <v>182.904</v>
      </c>
      <c r="N28" s="33">
        <f>Distance!N28*6</f>
        <v>182.64599999999999</v>
      </c>
      <c r="O28" s="33">
        <f>Distance!O28*6</f>
        <v>190.21799999999999</v>
      </c>
      <c r="P28" s="33">
        <f>Distance!P28*6</f>
        <v>195.97199999999998</v>
      </c>
      <c r="Q28" s="33">
        <f>Distance!Q28*6</f>
        <v>235.54199999999997</v>
      </c>
      <c r="R28" s="33">
        <f>Distance!R28*6</f>
        <v>195.81600000000003</v>
      </c>
      <c r="S28" s="33">
        <f>Distance!S28*6</f>
        <v>182.06400000000002</v>
      </c>
      <c r="T28" s="33">
        <f>Distance!T28*6</f>
        <v>175.95</v>
      </c>
      <c r="U28" s="33">
        <f>Distance!U28*6</f>
        <v>301.78800000000001</v>
      </c>
      <c r="V28" s="33">
        <f>Distance!V28*6</f>
        <v>195.97199999999998</v>
      </c>
      <c r="W28" s="33">
        <f>Distance!W28*6</f>
        <v>302.214</v>
      </c>
      <c r="X28" s="33">
        <f>Distance!X28*6</f>
        <v>185.184</v>
      </c>
      <c r="Y28" s="33">
        <f>Distance!Y28*6</f>
        <v>119.352</v>
      </c>
      <c r="Z28" s="33">
        <f>Distance!Z28*6</f>
        <v>269.83199999999999</v>
      </c>
      <c r="AA28" s="33">
        <f>Distance!AA28*6</f>
        <v>298.56</v>
      </c>
      <c r="AB28" s="33">
        <v>9999</v>
      </c>
      <c r="AC28" s="33">
        <f>Distance!AC28*6</f>
        <v>692.64599999999996</v>
      </c>
      <c r="AD28" s="33">
        <f>Distance!AD28*6</f>
        <v>205.68</v>
      </c>
      <c r="AE28" s="33">
        <f>Distance!AE28*6</f>
        <v>259.23</v>
      </c>
      <c r="AF28" s="33">
        <f>Distance!AF28*6</f>
        <v>240.16200000000001</v>
      </c>
      <c r="AG28" s="33">
        <f>Distance!AG28*6</f>
        <v>199.78199999999998</v>
      </c>
      <c r="AH28" s="33">
        <f>Distance!AH28*6</f>
        <v>190.19400000000002</v>
      </c>
      <c r="AI28" s="33">
        <f>Distance!AI28*6</f>
        <v>163.27800000000002</v>
      </c>
      <c r="AJ28" s="33">
        <f>Distance!AJ28*6</f>
        <v>181.93199999999999</v>
      </c>
      <c r="AK28" s="33">
        <f>Distance!AK28*6</f>
        <v>199.476</v>
      </c>
      <c r="AL28" s="33">
        <f>Distance!AL28*6</f>
        <v>124.38600000000001</v>
      </c>
      <c r="AM28" s="33">
        <f>Distance!AM28*6</f>
        <v>254.05199999999999</v>
      </c>
      <c r="AN28" s="33">
        <f>Distance!AN28*6</f>
        <v>278.42400000000004</v>
      </c>
      <c r="AO28" s="33">
        <f>Distance!AO28*6</f>
        <v>174.696</v>
      </c>
      <c r="AP28" s="33">
        <f>Distance!AP28*6</f>
        <v>191.50799999999998</v>
      </c>
      <c r="AQ28" s="33">
        <f>Distance!AQ28*6</f>
        <v>112.32</v>
      </c>
      <c r="AR28" s="33">
        <f>Distance!AR28*6</f>
        <v>231.27</v>
      </c>
      <c r="AS28" s="33">
        <f>Distance!AS28*6</f>
        <v>250.20600000000002</v>
      </c>
      <c r="AT28" s="33">
        <f>Distance!AT28*6</f>
        <v>229.5</v>
      </c>
      <c r="AU28" s="33">
        <f>Distance!AU28*6</f>
        <v>696.18000000000006</v>
      </c>
      <c r="AV28" s="33">
        <f>Distance!AV28*6</f>
        <v>217.00799999999998</v>
      </c>
      <c r="AW28" s="33">
        <f>Distance!AW28*6</f>
        <v>189.50399999999999</v>
      </c>
      <c r="AX28" s="33">
        <f>Distance!AX28*6</f>
        <v>402.23400000000004</v>
      </c>
      <c r="AY28" s="33">
        <f>Distance!AY28*6</f>
        <v>220.60200000000003</v>
      </c>
      <c r="AZ28" s="33">
        <f>Distance!AZ28*6</f>
        <v>497.57400000000001</v>
      </c>
    </row>
    <row r="29" spans="1:52">
      <c r="A29">
        <v>27</v>
      </c>
      <c r="B29" s="33">
        <f>Distance!B29*6</f>
        <v>647.35799999999995</v>
      </c>
      <c r="C29" s="33">
        <f>Distance!C29*6</f>
        <v>721.23</v>
      </c>
      <c r="D29" s="33">
        <f>Distance!D29*6</f>
        <v>618.21</v>
      </c>
      <c r="E29" s="33">
        <f>Distance!E29*6</f>
        <v>614.952</v>
      </c>
      <c r="F29" s="33">
        <f>Distance!F29*6</f>
        <v>636.48599999999999</v>
      </c>
      <c r="G29" s="33">
        <f>Distance!G29*6</f>
        <v>625.66200000000003</v>
      </c>
      <c r="H29" s="33">
        <f>Distance!H29*6</f>
        <v>642.61799999999994</v>
      </c>
      <c r="I29" s="33">
        <f>Distance!I29*6</f>
        <v>613.16999999999996</v>
      </c>
      <c r="J29" s="33">
        <f>Distance!J29*6</f>
        <v>604.79999999999995</v>
      </c>
      <c r="K29" s="33">
        <f>Distance!K29*6</f>
        <v>669.88200000000006</v>
      </c>
      <c r="L29" s="33">
        <f>Distance!L29*6</f>
        <v>673.87199999999996</v>
      </c>
      <c r="M29" s="33">
        <f>Distance!M29*6</f>
        <v>620.62199999999996</v>
      </c>
      <c r="N29" s="33">
        <f>Distance!N29*6</f>
        <v>620.36400000000003</v>
      </c>
      <c r="O29" s="33">
        <f>Distance!O29*6</f>
        <v>661.99800000000005</v>
      </c>
      <c r="P29" s="33">
        <f>Distance!P29*6</f>
        <v>667.75199999999995</v>
      </c>
      <c r="Q29" s="33">
        <f>Distance!Q29*6</f>
        <v>707.17200000000003</v>
      </c>
      <c r="R29" s="33">
        <f>Distance!R29*6</f>
        <v>667.596</v>
      </c>
      <c r="S29" s="33">
        <f>Distance!S29*6</f>
        <v>619.78199999999993</v>
      </c>
      <c r="T29" s="33">
        <f>Distance!T29*6</f>
        <v>647.73</v>
      </c>
      <c r="U29" s="33">
        <f>Distance!U29*6</f>
        <v>773.56799999999998</v>
      </c>
      <c r="V29" s="33">
        <f>Distance!V29*6</f>
        <v>667.75199999999995</v>
      </c>
      <c r="W29" s="33">
        <f>Distance!W29*6</f>
        <v>773.99399999999991</v>
      </c>
      <c r="X29" s="33">
        <f>Distance!X29*6</f>
        <v>656.96399999999994</v>
      </c>
      <c r="Y29" s="33">
        <f>Distance!Y29*6</f>
        <v>605.73</v>
      </c>
      <c r="Z29" s="33">
        <f>Distance!Z29*6</f>
        <v>741.61200000000008</v>
      </c>
      <c r="AA29" s="33">
        <f>Distance!AA29*6</f>
        <v>770.33999999999992</v>
      </c>
      <c r="AB29" s="33">
        <f>Distance!AB29*6</f>
        <v>691.62</v>
      </c>
      <c r="AC29" s="33">
        <v>9999</v>
      </c>
      <c r="AD29" s="33">
        <f>Distance!AD29*6</f>
        <v>808.14599999999996</v>
      </c>
      <c r="AE29" s="33">
        <f>Distance!AE29*6</f>
        <v>730.86</v>
      </c>
      <c r="AF29" s="33">
        <f>Distance!AF29*6</f>
        <v>880.65600000000006</v>
      </c>
      <c r="AG29" s="33">
        <f>Distance!AG29*6</f>
        <v>671.56200000000001</v>
      </c>
      <c r="AH29" s="33">
        <f>Distance!AH29*6</f>
        <v>627.91200000000003</v>
      </c>
      <c r="AI29" s="33">
        <f>Distance!AI29*6</f>
        <v>616.596</v>
      </c>
      <c r="AJ29" s="33">
        <f>Distance!AJ29*6</f>
        <v>619.65000000000009</v>
      </c>
      <c r="AK29" s="33">
        <f>Distance!AK29*6</f>
        <v>671.25600000000009</v>
      </c>
      <c r="AL29" s="33">
        <f>Distance!AL29*6</f>
        <v>560.178</v>
      </c>
      <c r="AM29" s="33">
        <f>Distance!AM29*6</f>
        <v>725.68200000000002</v>
      </c>
      <c r="AN29" s="33">
        <f>Distance!AN29*6</f>
        <v>750.05399999999997</v>
      </c>
      <c r="AO29" s="33">
        <f>Distance!AO29*6</f>
        <v>646.476</v>
      </c>
      <c r="AP29" s="33">
        <f>Distance!AP29*6</f>
        <v>629.226</v>
      </c>
      <c r="AQ29" s="33">
        <f>Distance!AQ29*6</f>
        <v>602.00400000000002</v>
      </c>
      <c r="AR29" s="33">
        <f>Distance!AR29*6</f>
        <v>703.05</v>
      </c>
      <c r="AS29" s="33">
        <f>Distance!AS29*6</f>
        <v>721.98599999999999</v>
      </c>
      <c r="AT29" s="33">
        <f>Distance!AT29*6</f>
        <v>498.12599999999998</v>
      </c>
      <c r="AU29" s="33">
        <f>Distance!AU29*6</f>
        <v>3.5279999999999996</v>
      </c>
      <c r="AV29" s="33">
        <f>Distance!AV29*6</f>
        <v>688.78800000000001</v>
      </c>
      <c r="AW29" s="33">
        <f>Distance!AW29*6</f>
        <v>661.28399999999999</v>
      </c>
      <c r="AX29" s="33">
        <f>Distance!AX29*6</f>
        <v>874.01400000000012</v>
      </c>
      <c r="AY29" s="33">
        <f>Distance!AY29*6</f>
        <v>793.94400000000007</v>
      </c>
      <c r="AZ29" s="33">
        <f>Distance!AZ29*6</f>
        <v>969.35400000000004</v>
      </c>
    </row>
    <row r="30" spans="1:52">
      <c r="A30">
        <v>28</v>
      </c>
      <c r="B30" s="33">
        <f>Distance!B30*6</f>
        <v>162.078</v>
      </c>
      <c r="C30" s="33">
        <f>Distance!C30*6</f>
        <v>235.95000000000002</v>
      </c>
      <c r="D30" s="33">
        <f>Distance!D30*6</f>
        <v>177.13800000000001</v>
      </c>
      <c r="E30" s="33">
        <f>Distance!E30*6</f>
        <v>173.178</v>
      </c>
      <c r="F30" s="33">
        <f>Distance!F30*6</f>
        <v>181.99799999999999</v>
      </c>
      <c r="G30" s="33">
        <f>Distance!G30*6</f>
        <v>169.5</v>
      </c>
      <c r="H30" s="33">
        <f>Distance!H30*6</f>
        <v>177.756</v>
      </c>
      <c r="I30" s="33">
        <f>Distance!I30*6</f>
        <v>176.49</v>
      </c>
      <c r="J30" s="33">
        <f>Distance!J30*6</f>
        <v>185.916</v>
      </c>
      <c r="K30" s="33">
        <f>Distance!K30*6</f>
        <v>178.458</v>
      </c>
      <c r="L30" s="33">
        <f>Distance!L30*6</f>
        <v>180.96600000000001</v>
      </c>
      <c r="M30" s="33">
        <f>Distance!M30*6</f>
        <v>172.93199999999999</v>
      </c>
      <c r="N30" s="33">
        <f>Distance!N30*6</f>
        <v>174.75</v>
      </c>
      <c r="O30" s="33">
        <f>Distance!O30*6</f>
        <v>171.852</v>
      </c>
      <c r="P30" s="33">
        <f>Distance!P30*6</f>
        <v>156.696</v>
      </c>
      <c r="Q30" s="33">
        <f>Distance!Q30*6</f>
        <v>233.976</v>
      </c>
      <c r="R30" s="33">
        <f>Distance!R30*6</f>
        <v>188.11799999999999</v>
      </c>
      <c r="S30" s="33">
        <f>Distance!S30*6</f>
        <v>175.15199999999999</v>
      </c>
      <c r="T30" s="33">
        <f>Distance!T30*6</f>
        <v>170.934</v>
      </c>
      <c r="U30" s="33">
        <f>Distance!U30*6</f>
        <v>71.177999999999997</v>
      </c>
      <c r="V30" s="33">
        <f>Distance!V30*6</f>
        <v>156.696</v>
      </c>
      <c r="W30" s="33">
        <f>Distance!W30*6</f>
        <v>148.476</v>
      </c>
      <c r="X30" s="33">
        <f>Distance!X30*6</f>
        <v>171.684</v>
      </c>
      <c r="Y30" s="33">
        <f>Distance!Y30*6</f>
        <v>227.08799999999999</v>
      </c>
      <c r="Z30" s="33">
        <f>Distance!Z30*6</f>
        <v>76.194000000000003</v>
      </c>
      <c r="AA30" s="33">
        <f>Distance!AA30*6</f>
        <v>67.949999999999989</v>
      </c>
      <c r="AB30" s="33">
        <f>Distance!AB30*6</f>
        <v>205.70400000000001</v>
      </c>
      <c r="AC30" s="33">
        <f>Distance!AC30*6</f>
        <v>808.98599999999988</v>
      </c>
      <c r="AD30" s="33">
        <v>9999</v>
      </c>
      <c r="AE30" s="33">
        <f>Distance!AE30*6</f>
        <v>211.536</v>
      </c>
      <c r="AF30" s="33">
        <f>Distance!AF30*6</f>
        <v>85.313999999999993</v>
      </c>
      <c r="AG30" s="33">
        <f>Distance!AG30*6</f>
        <v>185.02199999999999</v>
      </c>
      <c r="AH30" s="33">
        <f>Distance!AH30*6</f>
        <v>175.03799999999998</v>
      </c>
      <c r="AI30" s="33">
        <f>Distance!AI30*6</f>
        <v>181.572</v>
      </c>
      <c r="AJ30" s="33">
        <f>Distance!AJ30*6</f>
        <v>181.59</v>
      </c>
      <c r="AK30" s="33">
        <f>Distance!AK30*6</f>
        <v>182.83799999999999</v>
      </c>
      <c r="AL30" s="33">
        <f>Distance!AL30*6</f>
        <v>262.98</v>
      </c>
      <c r="AM30" s="33">
        <f>Distance!AM30*6</f>
        <v>252.48600000000002</v>
      </c>
      <c r="AN30" s="33">
        <f>Distance!AN30*6</f>
        <v>275.50200000000001</v>
      </c>
      <c r="AO30" s="33">
        <f>Distance!AO30*6</f>
        <v>167.07</v>
      </c>
      <c r="AP30" s="33">
        <f>Distance!AP30*6</f>
        <v>160.404</v>
      </c>
      <c r="AQ30" s="33">
        <f>Distance!AQ30*6</f>
        <v>223.36199999999997</v>
      </c>
      <c r="AR30" s="33">
        <f>Distance!AR30*6</f>
        <v>137.208</v>
      </c>
      <c r="AS30" s="33">
        <f>Distance!AS30*6</f>
        <v>236.70600000000002</v>
      </c>
      <c r="AT30" s="33">
        <f>Distance!AT30*6</f>
        <v>345.84000000000003</v>
      </c>
      <c r="AU30" s="33">
        <f>Distance!AU30*6</f>
        <v>812.52</v>
      </c>
      <c r="AV30" s="33">
        <f>Distance!AV30*6</f>
        <v>203.50799999999998</v>
      </c>
      <c r="AW30" s="33">
        <f>Distance!AW30*6</f>
        <v>176.00399999999999</v>
      </c>
      <c r="AX30" s="33">
        <f>Distance!AX30*6</f>
        <v>225.11399999999998</v>
      </c>
      <c r="AY30" s="33">
        <f>Distance!AY30*6</f>
        <v>27.726000000000003</v>
      </c>
      <c r="AZ30" s="33">
        <f>Distance!AZ30*6</f>
        <v>417.44399999999996</v>
      </c>
    </row>
    <row r="31" spans="1:52">
      <c r="A31">
        <v>29</v>
      </c>
      <c r="B31" s="33">
        <f>Distance!B31*6</f>
        <v>110.71799999999999</v>
      </c>
      <c r="C31" s="33">
        <f>Distance!C31*6</f>
        <v>184.59</v>
      </c>
      <c r="D31" s="33">
        <f>Distance!D31*6</f>
        <v>100.224</v>
      </c>
      <c r="E31" s="33">
        <f>Distance!E31*6</f>
        <v>101.50200000000001</v>
      </c>
      <c r="F31" s="33">
        <f>Distance!F31*6</f>
        <v>124.72199999999999</v>
      </c>
      <c r="G31" s="33">
        <f>Distance!G31*6</f>
        <v>92.286000000000001</v>
      </c>
      <c r="H31" s="33">
        <f>Distance!H31*6</f>
        <v>116.04600000000001</v>
      </c>
      <c r="I31" s="33">
        <f>Distance!I31*6</f>
        <v>136.41</v>
      </c>
      <c r="J31" s="33">
        <f>Distance!J31*6</f>
        <v>102.91200000000001</v>
      </c>
      <c r="K31" s="33">
        <f>Distance!K31*6</f>
        <v>88.967999999999989</v>
      </c>
      <c r="L31" s="33">
        <f>Distance!L31*6</f>
        <v>81.179999999999993</v>
      </c>
      <c r="M31" s="33">
        <f>Distance!M31*6</f>
        <v>91.841999999999999</v>
      </c>
      <c r="N31" s="33">
        <f>Distance!N31*6</f>
        <v>91.536000000000001</v>
      </c>
      <c r="O31" s="33">
        <f>Distance!O31*6</f>
        <v>110.07</v>
      </c>
      <c r="P31" s="33">
        <f>Distance!P31*6</f>
        <v>105.048</v>
      </c>
      <c r="Q31" s="33">
        <f>Distance!Q31*6</f>
        <v>61.08</v>
      </c>
      <c r="R31" s="33">
        <f>Distance!R31*6</f>
        <v>90.683999999999997</v>
      </c>
      <c r="S31" s="33">
        <f>Distance!S31*6</f>
        <v>97.5</v>
      </c>
      <c r="T31" s="33">
        <f>Distance!T31*6</f>
        <v>109.224</v>
      </c>
      <c r="U31" s="33">
        <f>Distance!U31*6</f>
        <v>177.25799999999998</v>
      </c>
      <c r="V31" s="33">
        <f>Distance!V31*6</f>
        <v>105.048</v>
      </c>
      <c r="W31" s="33">
        <f>Distance!W31*6</f>
        <v>99.042000000000002</v>
      </c>
      <c r="X31" s="33">
        <f>Distance!X31*6</f>
        <v>156.20400000000001</v>
      </c>
      <c r="Y31" s="33">
        <f>Distance!Y31*6</f>
        <v>164.31</v>
      </c>
      <c r="Z31" s="33">
        <f>Distance!Z31*6</f>
        <v>145.30199999999999</v>
      </c>
      <c r="AA31" s="33">
        <f>Distance!AA31*6</f>
        <v>174.03</v>
      </c>
      <c r="AB31" s="33">
        <f>Distance!AB31*6</f>
        <v>261.678</v>
      </c>
      <c r="AC31" s="33">
        <f>Distance!AC31*6</f>
        <v>699.49800000000005</v>
      </c>
      <c r="AD31" s="33">
        <f>Distance!AD31*6</f>
        <v>211.83599999999998</v>
      </c>
      <c r="AE31" s="33">
        <v>9999</v>
      </c>
      <c r="AF31" s="33">
        <f>Distance!AF31*6</f>
        <v>284.346</v>
      </c>
      <c r="AG31" s="33">
        <f>Distance!AG31*6</f>
        <v>87.588000000000008</v>
      </c>
      <c r="AH31" s="33">
        <f>Distance!AH31*6</f>
        <v>92.034000000000006</v>
      </c>
      <c r="AI31" s="33">
        <f>Distance!AI31*6</f>
        <v>102.48599999999999</v>
      </c>
      <c r="AJ31" s="33">
        <f>Distance!AJ31*6</f>
        <v>98.586000000000013</v>
      </c>
      <c r="AK31" s="33">
        <f>Distance!AK31*6</f>
        <v>87.282000000000011</v>
      </c>
      <c r="AL31" s="33">
        <f>Distance!AL31*6</f>
        <v>187.31400000000002</v>
      </c>
      <c r="AM31" s="33">
        <f>Distance!AM31*6</f>
        <v>79.59</v>
      </c>
      <c r="AN31" s="33">
        <f>Distance!AN31*6</f>
        <v>102.60599999999999</v>
      </c>
      <c r="AO31" s="33">
        <f>Distance!AO31*6</f>
        <v>105.28799999999998</v>
      </c>
      <c r="AP31" s="33">
        <f>Distance!AP31*6</f>
        <v>91.176000000000002</v>
      </c>
      <c r="AQ31" s="33">
        <f>Distance!AQ31*6</f>
        <v>160.584</v>
      </c>
      <c r="AR31" s="33">
        <f>Distance!AR31*6</f>
        <v>121.03799999999998</v>
      </c>
      <c r="AS31" s="33">
        <f>Distance!AS31*6</f>
        <v>185.346</v>
      </c>
      <c r="AT31" s="33">
        <f>Distance!AT31*6</f>
        <v>270.17400000000004</v>
      </c>
      <c r="AU31" s="33">
        <f>Distance!AU31*6</f>
        <v>703.03199999999993</v>
      </c>
      <c r="AV31" s="33">
        <f>Distance!AV31*6</f>
        <v>152.148</v>
      </c>
      <c r="AW31" s="33">
        <f>Distance!AW31*6</f>
        <v>124.64400000000001</v>
      </c>
      <c r="AX31" s="33">
        <f>Distance!AX31*6</f>
        <v>234.59399999999999</v>
      </c>
      <c r="AY31" s="33">
        <f>Distance!AY31*6</f>
        <v>203.85000000000002</v>
      </c>
      <c r="AZ31" s="33">
        <f>Distance!AZ31*6</f>
        <v>246.10200000000003</v>
      </c>
    </row>
    <row r="32" spans="1:52">
      <c r="A32">
        <v>30</v>
      </c>
      <c r="B32" s="33">
        <f>Distance!B32*6</f>
        <v>234.58799999999999</v>
      </c>
      <c r="C32" s="33">
        <f>Distance!C32*6</f>
        <v>308.45999999999998</v>
      </c>
      <c r="D32" s="33">
        <f>Distance!D32*6</f>
        <v>249.64799999999997</v>
      </c>
      <c r="E32" s="33">
        <f>Distance!E32*6</f>
        <v>245.68799999999999</v>
      </c>
      <c r="F32" s="33">
        <f>Distance!F32*6</f>
        <v>254.50799999999998</v>
      </c>
      <c r="G32" s="33">
        <f>Distance!G32*6</f>
        <v>242.01</v>
      </c>
      <c r="H32" s="33">
        <f>Distance!H32*6</f>
        <v>250.26599999999999</v>
      </c>
      <c r="I32" s="33">
        <f>Distance!I32*6</f>
        <v>249</v>
      </c>
      <c r="J32" s="33">
        <f>Distance!J32*6</f>
        <v>258.42599999999999</v>
      </c>
      <c r="K32" s="33">
        <f>Distance!K32*6</f>
        <v>250.96800000000002</v>
      </c>
      <c r="L32" s="33">
        <f>Distance!L32*6</f>
        <v>253.476</v>
      </c>
      <c r="M32" s="33">
        <f>Distance!M32*6</f>
        <v>245.44199999999998</v>
      </c>
      <c r="N32" s="33">
        <f>Distance!N32*6</f>
        <v>247.26</v>
      </c>
      <c r="O32" s="33">
        <f>Distance!O32*6</f>
        <v>244.36199999999997</v>
      </c>
      <c r="P32" s="33">
        <f>Distance!P32*6</f>
        <v>229.20600000000002</v>
      </c>
      <c r="Q32" s="33">
        <f>Distance!Q32*6</f>
        <v>306.48599999999999</v>
      </c>
      <c r="R32" s="33">
        <f>Distance!R32*6</f>
        <v>260.62800000000004</v>
      </c>
      <c r="S32" s="33">
        <f>Distance!S32*6</f>
        <v>247.66200000000001</v>
      </c>
      <c r="T32" s="33">
        <f>Distance!T32*6</f>
        <v>243.44399999999999</v>
      </c>
      <c r="U32" s="33">
        <f>Distance!U32*6</f>
        <v>108.756</v>
      </c>
      <c r="V32" s="33">
        <f>Distance!V32*6</f>
        <v>229.20600000000002</v>
      </c>
      <c r="W32" s="33">
        <f>Distance!W32*6</f>
        <v>220.98600000000002</v>
      </c>
      <c r="X32" s="33">
        <f>Distance!X32*6</f>
        <v>244.19399999999999</v>
      </c>
      <c r="Y32" s="33">
        <f>Distance!Y32*6</f>
        <v>299.59800000000001</v>
      </c>
      <c r="Z32" s="33">
        <f>Distance!Z32*6</f>
        <v>148.70400000000001</v>
      </c>
      <c r="AA32" s="33">
        <f>Distance!AA32*6</f>
        <v>112.90800000000002</v>
      </c>
      <c r="AB32" s="33">
        <f>Distance!AB32*6</f>
        <v>240.18599999999998</v>
      </c>
      <c r="AC32" s="33">
        <f>Distance!AC32*6</f>
        <v>881.49599999999998</v>
      </c>
      <c r="AD32" s="33">
        <f>Distance!AD32*6</f>
        <v>85.313999999999993</v>
      </c>
      <c r="AE32" s="33">
        <f>Distance!AE32*6</f>
        <v>284.04599999999999</v>
      </c>
      <c r="AF32" s="33">
        <v>9999</v>
      </c>
      <c r="AG32" s="33">
        <f>Distance!AG32*6</f>
        <v>257.53199999999998</v>
      </c>
      <c r="AH32" s="33">
        <f>Distance!AH32*6</f>
        <v>247.548</v>
      </c>
      <c r="AI32" s="33">
        <f>Distance!AI32*6</f>
        <v>254.08199999999999</v>
      </c>
      <c r="AJ32" s="33">
        <f>Distance!AJ32*6</f>
        <v>254.10000000000002</v>
      </c>
      <c r="AK32" s="33">
        <f>Distance!AK32*6</f>
        <v>257.226</v>
      </c>
      <c r="AL32" s="33">
        <f>Distance!AL32*6</f>
        <v>335.49</v>
      </c>
      <c r="AM32" s="33">
        <f>Distance!AM32*6</f>
        <v>324.99599999999998</v>
      </c>
      <c r="AN32" s="33">
        <f>Distance!AN32*6</f>
        <v>348.012</v>
      </c>
      <c r="AO32" s="33">
        <f>Distance!AO32*6</f>
        <v>239.57999999999998</v>
      </c>
      <c r="AP32" s="33">
        <f>Distance!AP32*6</f>
        <v>232.91400000000002</v>
      </c>
      <c r="AQ32" s="33">
        <f>Distance!AQ32*6</f>
        <v>295.87199999999996</v>
      </c>
      <c r="AR32" s="33">
        <f>Distance!AR32*6</f>
        <v>209.71800000000002</v>
      </c>
      <c r="AS32" s="33">
        <f>Distance!AS32*6</f>
        <v>309.21600000000001</v>
      </c>
      <c r="AT32" s="33">
        <f>Distance!AT32*6</f>
        <v>418.34999999999997</v>
      </c>
      <c r="AU32" s="33">
        <f>Distance!AU32*6</f>
        <v>885.03</v>
      </c>
      <c r="AV32" s="33">
        <f>Distance!AV32*6</f>
        <v>276.01800000000003</v>
      </c>
      <c r="AW32" s="33">
        <f>Distance!AW32*6</f>
        <v>248.51399999999998</v>
      </c>
      <c r="AX32" s="33">
        <f>Distance!AX32*6</f>
        <v>297.62400000000002</v>
      </c>
      <c r="AY32" s="33">
        <f>Distance!AY32*6</f>
        <v>100.23599999999999</v>
      </c>
      <c r="AZ32" s="33">
        <f>Distance!AZ32*6</f>
        <v>489.95400000000006</v>
      </c>
    </row>
    <row r="33" spans="1:52">
      <c r="A33">
        <v>31</v>
      </c>
      <c r="B33" s="33">
        <f>Distance!B33*6</f>
        <v>41.652000000000001</v>
      </c>
      <c r="C33" s="33">
        <f>Distance!C33*6</f>
        <v>115.524</v>
      </c>
      <c r="D33" s="33">
        <f>Distance!D33*6</f>
        <v>12.629999999999999</v>
      </c>
      <c r="E33" s="33">
        <f>Distance!E33*6</f>
        <v>15.024000000000001</v>
      </c>
      <c r="F33" s="33">
        <f>Distance!F33*6</f>
        <v>44.49</v>
      </c>
      <c r="G33" s="33">
        <f>Distance!G33*6</f>
        <v>16.026</v>
      </c>
      <c r="H33" s="33">
        <f>Distance!H33*6</f>
        <v>30.173999999999999</v>
      </c>
      <c r="I33" s="33">
        <f>Distance!I33*6</f>
        <v>18.335999999999999</v>
      </c>
      <c r="J33" s="33">
        <f>Distance!J33*6</f>
        <v>15.318</v>
      </c>
      <c r="K33" s="33">
        <f>Distance!K33*6</f>
        <v>1.3740000000000001</v>
      </c>
      <c r="L33" s="33">
        <f>Distance!L33*6</f>
        <v>9.1080000000000005</v>
      </c>
      <c r="M33" s="33">
        <f>Distance!M33*6</f>
        <v>10.878</v>
      </c>
      <c r="N33" s="33">
        <f>Distance!N33*6</f>
        <v>12.966000000000001</v>
      </c>
      <c r="O33" s="33">
        <f>Distance!O33*6</f>
        <v>45.186</v>
      </c>
      <c r="P33" s="33">
        <f>Distance!P33*6</f>
        <v>38.957999999999998</v>
      </c>
      <c r="Q33" s="33">
        <f>Distance!Q33*6</f>
        <v>65.616</v>
      </c>
      <c r="R33" s="33">
        <f>Distance!R33*6</f>
        <v>5.8319999999999999</v>
      </c>
      <c r="S33" s="33">
        <f>Distance!S33*6</f>
        <v>13.98</v>
      </c>
      <c r="T33" s="33">
        <f>Distance!T33*6</f>
        <v>32.658000000000001</v>
      </c>
      <c r="U33" s="33">
        <f>Distance!U33*6</f>
        <v>143.46</v>
      </c>
      <c r="V33" s="33">
        <f>Distance!V33*6</f>
        <v>38.957999999999998</v>
      </c>
      <c r="W33" s="33">
        <f>Distance!W33*6</f>
        <v>83.927999999999997</v>
      </c>
      <c r="X33" s="33">
        <f>Distance!X33*6</f>
        <v>51.257999999999996</v>
      </c>
      <c r="Y33" s="33">
        <f>Distance!Y33*6</f>
        <v>85.938000000000002</v>
      </c>
      <c r="Z33" s="33">
        <f>Distance!Z33*6</f>
        <v>111.50399999999999</v>
      </c>
      <c r="AA33" s="33">
        <f>Distance!AA33*6</f>
        <v>140.232</v>
      </c>
      <c r="AB33" s="33">
        <f>Distance!AB33*6</f>
        <v>185.994</v>
      </c>
      <c r="AC33" s="33">
        <f>Distance!AC33*6</f>
        <v>623.87400000000002</v>
      </c>
      <c r="AD33" s="33">
        <f>Distance!AD33*6</f>
        <v>178.03799999999998</v>
      </c>
      <c r="AE33" s="33">
        <f>Distance!AE33*6</f>
        <v>81.036000000000001</v>
      </c>
      <c r="AF33" s="33">
        <f>Distance!AF33*6</f>
        <v>250.548</v>
      </c>
      <c r="AG33" s="33">
        <v>9999</v>
      </c>
      <c r="AH33" s="33">
        <f>Distance!AH33*6</f>
        <v>4.4399999999999995</v>
      </c>
      <c r="AI33" s="33">
        <f>Distance!AI33*6</f>
        <v>14.892000000000001</v>
      </c>
      <c r="AJ33" s="33">
        <f>Distance!AJ33*6</f>
        <v>10.992000000000001</v>
      </c>
      <c r="AK33" s="33">
        <f>Distance!AK33*6</f>
        <v>3.0419999999999998</v>
      </c>
      <c r="AL33" s="33">
        <f>Distance!AL33*6</f>
        <v>111.63</v>
      </c>
      <c r="AM33" s="33">
        <f>Distance!AM33*6</f>
        <v>84.126000000000005</v>
      </c>
      <c r="AN33" s="33">
        <f>Distance!AN33*6</f>
        <v>107.142</v>
      </c>
      <c r="AO33" s="33">
        <f>Distance!AO33*6</f>
        <v>35.628</v>
      </c>
      <c r="AP33" s="33">
        <f>Distance!AP33*6</f>
        <v>17.423999999999999</v>
      </c>
      <c r="AQ33" s="33">
        <f>Distance!AQ33*6</f>
        <v>82.212000000000003</v>
      </c>
      <c r="AR33" s="33">
        <f>Distance!AR33*6</f>
        <v>83.51400000000001</v>
      </c>
      <c r="AS33" s="33">
        <f>Distance!AS33*6</f>
        <v>116.28</v>
      </c>
      <c r="AT33" s="33">
        <f>Distance!AT33*6</f>
        <v>194.49</v>
      </c>
      <c r="AU33" s="33">
        <f>Distance!AU33*6</f>
        <v>627.40800000000002</v>
      </c>
      <c r="AV33" s="33">
        <f>Distance!AV33*6</f>
        <v>83.081999999999994</v>
      </c>
      <c r="AW33" s="33">
        <f>Distance!AW33*6</f>
        <v>55.578000000000003</v>
      </c>
      <c r="AX33" s="33">
        <f>Distance!AX33*6</f>
        <v>219.48</v>
      </c>
      <c r="AY33" s="33">
        <f>Distance!AY33*6</f>
        <v>163.83600000000001</v>
      </c>
      <c r="AZ33" s="33">
        <f>Distance!AZ33*6</f>
        <v>286.14600000000002</v>
      </c>
    </row>
    <row r="34" spans="1:52">
      <c r="A34">
        <v>32</v>
      </c>
      <c r="B34" s="33">
        <f>Distance!B34*6</f>
        <v>37.205999999999996</v>
      </c>
      <c r="C34" s="33">
        <f>Distance!C34*6</f>
        <v>111.078</v>
      </c>
      <c r="D34" s="33">
        <f>Distance!D34*6</f>
        <v>8.1840000000000011</v>
      </c>
      <c r="E34" s="33">
        <f>Distance!E34*6</f>
        <v>10.577999999999999</v>
      </c>
      <c r="F34" s="33">
        <f>Distance!F34*6</f>
        <v>40.044000000000004</v>
      </c>
      <c r="G34" s="33">
        <f>Distance!G34*6</f>
        <v>11.58</v>
      </c>
      <c r="H34" s="33">
        <f>Distance!H34*6</f>
        <v>25.728000000000002</v>
      </c>
      <c r="I34" s="33">
        <f>Distance!I34*6</f>
        <v>13.89</v>
      </c>
      <c r="J34" s="33">
        <f>Distance!J34*6</f>
        <v>10.872</v>
      </c>
      <c r="K34" s="33">
        <f>Distance!K34*6</f>
        <v>8.1780000000000008</v>
      </c>
      <c r="L34" s="33">
        <f>Distance!L34*6</f>
        <v>20.178000000000001</v>
      </c>
      <c r="M34" s="33">
        <f>Distance!M34*6</f>
        <v>6.4320000000000004</v>
      </c>
      <c r="N34" s="33">
        <f>Distance!N34*6</f>
        <v>8.52</v>
      </c>
      <c r="O34" s="33">
        <f>Distance!O34*6</f>
        <v>40.74</v>
      </c>
      <c r="P34" s="33">
        <f>Distance!P34*6</f>
        <v>40.152000000000001</v>
      </c>
      <c r="Q34" s="33">
        <f>Distance!Q34*6</f>
        <v>76.686000000000007</v>
      </c>
      <c r="R34" s="33">
        <f>Distance!R34*6</f>
        <v>6.9719999999999995</v>
      </c>
      <c r="S34" s="33">
        <f>Distance!S34*6</f>
        <v>9.5339999999999989</v>
      </c>
      <c r="T34" s="33">
        <f>Distance!T34*6</f>
        <v>28.212</v>
      </c>
      <c r="U34" s="33">
        <f>Distance!U34*6</f>
        <v>144.654</v>
      </c>
      <c r="V34" s="33">
        <f>Distance!V34*6</f>
        <v>40.152000000000001</v>
      </c>
      <c r="W34" s="33">
        <f>Distance!W34*6</f>
        <v>92.88</v>
      </c>
      <c r="X34" s="33">
        <f>Distance!X34*6</f>
        <v>46.811999999999998</v>
      </c>
      <c r="Y34" s="33">
        <f>Distance!Y34*6</f>
        <v>81.492000000000004</v>
      </c>
      <c r="Z34" s="33">
        <f>Distance!Z34*6</f>
        <v>112.69800000000001</v>
      </c>
      <c r="AA34" s="33">
        <f>Distance!AA34*6</f>
        <v>141.42600000000002</v>
      </c>
      <c r="AB34" s="33">
        <f>Distance!AB34*6</f>
        <v>181.548</v>
      </c>
      <c r="AC34" s="33">
        <f>Distance!AC34*6</f>
        <v>619.428</v>
      </c>
      <c r="AD34" s="33">
        <f>Distance!AD34*6</f>
        <v>179.232</v>
      </c>
      <c r="AE34" s="33">
        <f>Distance!AE34*6</f>
        <v>86.753999999999991</v>
      </c>
      <c r="AF34" s="33">
        <f>Distance!AF34*6</f>
        <v>251.74200000000002</v>
      </c>
      <c r="AG34" s="33">
        <f>Distance!AG34*6</f>
        <v>16.272000000000002</v>
      </c>
      <c r="AH34" s="33">
        <v>9999</v>
      </c>
      <c r="AI34" s="33">
        <f>Distance!AI34*6</f>
        <v>10.446000000000002</v>
      </c>
      <c r="AJ34" s="33">
        <f>Distance!AJ34*6</f>
        <v>6.5459999999999994</v>
      </c>
      <c r="AK34" s="33">
        <f>Distance!AK34*6</f>
        <v>15.966000000000001</v>
      </c>
      <c r="AL34" s="33">
        <f>Distance!AL34*6</f>
        <v>107.184</v>
      </c>
      <c r="AM34" s="33">
        <f>Distance!AM34*6</f>
        <v>95.195999999999998</v>
      </c>
      <c r="AN34" s="33">
        <f>Distance!AN34*6</f>
        <v>142.88400000000001</v>
      </c>
      <c r="AO34" s="33">
        <f>Distance!AO34*6</f>
        <v>31.182000000000002</v>
      </c>
      <c r="AP34" s="33">
        <f>Distance!AP34*6</f>
        <v>20.411999999999999</v>
      </c>
      <c r="AQ34" s="33">
        <f>Distance!AQ34*6</f>
        <v>77.766000000000005</v>
      </c>
      <c r="AR34" s="33">
        <f>Distance!AR34*6</f>
        <v>84.707999999999998</v>
      </c>
      <c r="AS34" s="33">
        <f>Distance!AS34*6</f>
        <v>111.834</v>
      </c>
      <c r="AT34" s="33">
        <f>Distance!AT34*6</f>
        <v>190.04399999999998</v>
      </c>
      <c r="AU34" s="33">
        <f>Distance!AU34*6</f>
        <v>622.96199999999999</v>
      </c>
      <c r="AV34" s="33">
        <f>Distance!AV34*6</f>
        <v>78.635999999999996</v>
      </c>
      <c r="AW34" s="33">
        <f>Distance!AW34*6</f>
        <v>51.132000000000005</v>
      </c>
      <c r="AX34" s="33">
        <f>Distance!AX34*6</f>
        <v>245.10000000000002</v>
      </c>
      <c r="AY34" s="33">
        <f>Distance!AY34*6</f>
        <v>165.03</v>
      </c>
      <c r="AZ34" s="33">
        <f>Distance!AZ34*6</f>
        <v>291.86399999999998</v>
      </c>
    </row>
    <row r="35" spans="1:52">
      <c r="A35">
        <v>33</v>
      </c>
      <c r="B35" s="33">
        <f>Distance!B35*6</f>
        <v>31.433999999999997</v>
      </c>
      <c r="C35" s="33">
        <f>Distance!C35*6</f>
        <v>105.30599999999998</v>
      </c>
      <c r="D35" s="33">
        <f>Distance!D35*6</f>
        <v>6.9239999999999995</v>
      </c>
      <c r="E35" s="33">
        <f>Distance!E35*6</f>
        <v>9.3179999999999996</v>
      </c>
      <c r="F35" s="33">
        <f>Distance!F35*6</f>
        <v>34.332000000000001</v>
      </c>
      <c r="G35" s="33">
        <f>Distance!G35*6</f>
        <v>10.805999999999999</v>
      </c>
      <c r="H35" s="33">
        <f>Distance!H35*6</f>
        <v>19.956</v>
      </c>
      <c r="I35" s="33">
        <f>Distance!I35*6</f>
        <v>12.629999999999999</v>
      </c>
      <c r="J35" s="33">
        <f>Distance!J35*6</f>
        <v>5.0999999999999996</v>
      </c>
      <c r="K35" s="33">
        <f>Distance!K35*6</f>
        <v>13.788</v>
      </c>
      <c r="L35" s="33">
        <f>Distance!L35*6</f>
        <v>21.125999999999998</v>
      </c>
      <c r="M35" s="33">
        <f>Distance!M35*6</f>
        <v>8.088000000000001</v>
      </c>
      <c r="N35" s="33">
        <f>Distance!N35*6</f>
        <v>7.8719999999999999</v>
      </c>
      <c r="O35" s="33">
        <f>Distance!O35*6</f>
        <v>34.968000000000004</v>
      </c>
      <c r="P35" s="33">
        <f>Distance!P35*6</f>
        <v>37.914000000000001</v>
      </c>
      <c r="Q35" s="33">
        <f>Distance!Q35*6</f>
        <v>105.804</v>
      </c>
      <c r="R35" s="33">
        <f>Distance!R35*6</f>
        <v>12.378</v>
      </c>
      <c r="S35" s="33">
        <f>Distance!S35*6</f>
        <v>8.2740000000000009</v>
      </c>
      <c r="T35" s="33">
        <f>Distance!T35*6</f>
        <v>22.44</v>
      </c>
      <c r="U35" s="33">
        <f>Distance!U35*6</f>
        <v>142.416</v>
      </c>
      <c r="V35" s="33">
        <f>Distance!V35*6</f>
        <v>37.914000000000001</v>
      </c>
      <c r="W35" s="33">
        <f>Distance!W35*6</f>
        <v>96.899999999999991</v>
      </c>
      <c r="X35" s="33">
        <f>Distance!X35*6</f>
        <v>41.04</v>
      </c>
      <c r="Y35" s="33">
        <f>Distance!Y35*6</f>
        <v>75.72</v>
      </c>
      <c r="Z35" s="33">
        <f>Distance!Z35*6</f>
        <v>110.46000000000001</v>
      </c>
      <c r="AA35" s="33">
        <f>Distance!AA35*6</f>
        <v>145.404</v>
      </c>
      <c r="AB35" s="33">
        <f>Distance!AB35*6</f>
        <v>175.77600000000001</v>
      </c>
      <c r="AC35" s="33">
        <f>Distance!AC35*6</f>
        <v>654.41999999999996</v>
      </c>
      <c r="AD35" s="33">
        <f>Distance!AD35*6</f>
        <v>176.994</v>
      </c>
      <c r="AE35" s="33">
        <f>Distance!AE35*6</f>
        <v>94.23599999999999</v>
      </c>
      <c r="AF35" s="33">
        <f>Distance!AF35*6</f>
        <v>249.50400000000002</v>
      </c>
      <c r="AG35" s="33">
        <f>Distance!AG35*6</f>
        <v>17.22</v>
      </c>
      <c r="AH35" s="33">
        <f>Distance!AH35*6</f>
        <v>11.31</v>
      </c>
      <c r="AI35" s="33">
        <v>9999</v>
      </c>
      <c r="AJ35" s="33">
        <f>Distance!AJ35*6</f>
        <v>3.048</v>
      </c>
      <c r="AK35" s="33">
        <f>Distance!AK35*6</f>
        <v>16.914000000000001</v>
      </c>
      <c r="AL35" s="33">
        <f>Distance!AL35*6</f>
        <v>101.41200000000001</v>
      </c>
      <c r="AM35" s="33">
        <f>Distance!AM35*6</f>
        <v>124.31400000000001</v>
      </c>
      <c r="AN35" s="33">
        <f>Distance!AN35*6</f>
        <v>148.68599999999998</v>
      </c>
      <c r="AO35" s="33">
        <f>Distance!AO35*6</f>
        <v>25.410000000000004</v>
      </c>
      <c r="AP35" s="33">
        <f>Distance!AP35*6</f>
        <v>22.943999999999999</v>
      </c>
      <c r="AQ35" s="33">
        <f>Distance!AQ35*6</f>
        <v>71.994</v>
      </c>
      <c r="AR35" s="33">
        <f>Distance!AR35*6</f>
        <v>82.47</v>
      </c>
      <c r="AS35" s="33">
        <f>Distance!AS35*6</f>
        <v>106.062</v>
      </c>
      <c r="AT35" s="33">
        <f>Distance!AT35*6</f>
        <v>184.27199999999999</v>
      </c>
      <c r="AU35" s="33">
        <f>Distance!AU35*6</f>
        <v>617.18999999999994</v>
      </c>
      <c r="AV35" s="33">
        <f>Distance!AV35*6</f>
        <v>72.864000000000004</v>
      </c>
      <c r="AW35" s="33">
        <f>Distance!AW35*6</f>
        <v>45.36</v>
      </c>
      <c r="AX35" s="33">
        <f>Distance!AX35*6</f>
        <v>242.86199999999997</v>
      </c>
      <c r="AY35" s="33">
        <f>Distance!AY35*6</f>
        <v>162.792</v>
      </c>
      <c r="AZ35" s="33">
        <f>Distance!AZ35*6</f>
        <v>299.346</v>
      </c>
    </row>
    <row r="36" spans="1:52">
      <c r="A36">
        <v>34</v>
      </c>
      <c r="B36" s="33">
        <f>Distance!B36*6</f>
        <v>33.630000000000003</v>
      </c>
      <c r="C36" s="33">
        <f>Distance!C36*6</f>
        <v>107.50200000000001</v>
      </c>
      <c r="D36" s="33">
        <f>Distance!D36*6</f>
        <v>10.608000000000001</v>
      </c>
      <c r="E36" s="33">
        <f>Distance!E36*6</f>
        <v>13.001999999999999</v>
      </c>
      <c r="F36" s="33">
        <f>Distance!F36*6</f>
        <v>36.468000000000004</v>
      </c>
      <c r="G36" s="33">
        <f>Distance!G36*6</f>
        <v>14.004000000000001</v>
      </c>
      <c r="H36" s="33">
        <f>Distance!H36*6</f>
        <v>22.152000000000001</v>
      </c>
      <c r="I36" s="33">
        <f>Distance!I36*6</f>
        <v>16.314</v>
      </c>
      <c r="J36" s="33">
        <f>Distance!J36*6</f>
        <v>7.2959999999999994</v>
      </c>
      <c r="K36" s="33">
        <f>Distance!K36*6</f>
        <v>12.192</v>
      </c>
      <c r="L36" s="33">
        <f>Distance!L36*6</f>
        <v>19.169999999999998</v>
      </c>
      <c r="M36" s="33">
        <f>Distance!M36*6</f>
        <v>8.8559999999999999</v>
      </c>
      <c r="N36" s="33">
        <f>Distance!N36*6</f>
        <v>10.944000000000001</v>
      </c>
      <c r="O36" s="33">
        <f>Distance!O36*6</f>
        <v>37.164000000000001</v>
      </c>
      <c r="P36" s="33">
        <f>Distance!P36*6</f>
        <v>42.576000000000001</v>
      </c>
      <c r="Q36" s="33">
        <f>Distance!Q36*6</f>
        <v>76.037999999999997</v>
      </c>
      <c r="R36" s="33">
        <f>Distance!R36*6</f>
        <v>10.782</v>
      </c>
      <c r="S36" s="33">
        <f>Distance!S36*6</f>
        <v>11.958</v>
      </c>
      <c r="T36" s="33">
        <f>Distance!T36*6</f>
        <v>24.635999999999999</v>
      </c>
      <c r="U36" s="33">
        <f>Distance!U36*6</f>
        <v>153.29399999999998</v>
      </c>
      <c r="V36" s="33">
        <f>Distance!V36*6</f>
        <v>42.576000000000001</v>
      </c>
      <c r="W36" s="33">
        <f>Distance!W36*6</f>
        <v>95.304000000000002</v>
      </c>
      <c r="X36" s="33">
        <f>Distance!X36*6</f>
        <v>43.236000000000004</v>
      </c>
      <c r="Y36" s="33">
        <f>Distance!Y36*6</f>
        <v>77.915999999999997</v>
      </c>
      <c r="Z36" s="33">
        <f>Distance!Z36*6</f>
        <v>115.12200000000001</v>
      </c>
      <c r="AA36" s="33">
        <f>Distance!AA36*6</f>
        <v>143.85000000000002</v>
      </c>
      <c r="AB36" s="33">
        <f>Distance!AB36*6</f>
        <v>177.97199999999998</v>
      </c>
      <c r="AC36" s="33">
        <f>Distance!AC36*6</f>
        <v>615.85199999999998</v>
      </c>
      <c r="AD36" s="33">
        <f>Distance!AD36*6</f>
        <v>181.65600000000001</v>
      </c>
      <c r="AE36" s="33">
        <f>Distance!AE36*6</f>
        <v>92.64</v>
      </c>
      <c r="AF36" s="33">
        <f>Distance!AF36*6</f>
        <v>254.166</v>
      </c>
      <c r="AG36" s="33">
        <f>Distance!AG36*6</f>
        <v>15.624000000000001</v>
      </c>
      <c r="AH36" s="33">
        <f>Distance!AH36*6</f>
        <v>9.7140000000000004</v>
      </c>
      <c r="AI36" s="33">
        <f>Distance!AI36*6</f>
        <v>6.87</v>
      </c>
      <c r="AJ36" s="33">
        <v>9999</v>
      </c>
      <c r="AK36" s="33">
        <f>Distance!AK36*6</f>
        <v>15.318</v>
      </c>
      <c r="AL36" s="33">
        <f>Distance!AL36*6</f>
        <v>103.608</v>
      </c>
      <c r="AM36" s="33">
        <f>Distance!AM36*6</f>
        <v>94.548000000000002</v>
      </c>
      <c r="AN36" s="33">
        <f>Distance!AN36*6</f>
        <v>150.88200000000001</v>
      </c>
      <c r="AO36" s="33">
        <f>Distance!AO36*6</f>
        <v>27.606000000000002</v>
      </c>
      <c r="AP36" s="33">
        <f>Distance!AP36*6</f>
        <v>22.835999999999999</v>
      </c>
      <c r="AQ36" s="33">
        <f>Distance!AQ36*6</f>
        <v>74.19</v>
      </c>
      <c r="AR36" s="33">
        <f>Distance!AR36*6</f>
        <v>87.521999999999991</v>
      </c>
      <c r="AS36" s="33">
        <f>Distance!AS36*6</f>
        <v>108.258</v>
      </c>
      <c r="AT36" s="33">
        <f>Distance!AT36*6</f>
        <v>186.46799999999999</v>
      </c>
      <c r="AU36" s="33">
        <f>Distance!AU36*6</f>
        <v>619.38599999999997</v>
      </c>
      <c r="AV36" s="33">
        <f>Distance!AV36*6</f>
        <v>75.06</v>
      </c>
      <c r="AW36" s="33">
        <f>Distance!AW36*6</f>
        <v>47.555999999999997</v>
      </c>
      <c r="AX36" s="33">
        <f>Distance!AX36*6</f>
        <v>247.524</v>
      </c>
      <c r="AY36" s="33">
        <f>Distance!AY36*6</f>
        <v>167.45400000000001</v>
      </c>
      <c r="AZ36" s="33">
        <f>Distance!AZ36*6</f>
        <v>297.75</v>
      </c>
    </row>
    <row r="37" spans="1:52">
      <c r="A37">
        <v>35</v>
      </c>
      <c r="B37" s="33">
        <f>Distance!B37*6</f>
        <v>41.963999999999999</v>
      </c>
      <c r="C37" s="33">
        <f>Distance!C37*6</f>
        <v>115.83600000000001</v>
      </c>
      <c r="D37" s="33">
        <f>Distance!D37*6</f>
        <v>12.942</v>
      </c>
      <c r="E37" s="33">
        <f>Distance!E37*6</f>
        <v>15.336</v>
      </c>
      <c r="F37" s="33">
        <f>Distance!F37*6</f>
        <v>44.802</v>
      </c>
      <c r="G37" s="33">
        <f>Distance!G37*6</f>
        <v>16.338000000000001</v>
      </c>
      <c r="H37" s="33">
        <f>Distance!H37*6</f>
        <v>30.486000000000004</v>
      </c>
      <c r="I37" s="33">
        <f>Distance!I37*6</f>
        <v>18.648</v>
      </c>
      <c r="J37" s="33">
        <f>Distance!J37*6</f>
        <v>15.629999999999999</v>
      </c>
      <c r="K37" s="33">
        <f>Distance!K37*6</f>
        <v>1.6860000000000002</v>
      </c>
      <c r="L37" s="33">
        <f>Distance!L37*6</f>
        <v>9.42</v>
      </c>
      <c r="M37" s="33">
        <f>Distance!M37*6</f>
        <v>11.19</v>
      </c>
      <c r="N37" s="33">
        <f>Distance!N37*6</f>
        <v>13.278</v>
      </c>
      <c r="O37" s="33">
        <f>Distance!O37*6</f>
        <v>45.498000000000005</v>
      </c>
      <c r="P37" s="33">
        <f>Distance!P37*6</f>
        <v>39.269999999999996</v>
      </c>
      <c r="Q37" s="33">
        <f>Distance!Q37*6</f>
        <v>65.927999999999997</v>
      </c>
      <c r="R37" s="33">
        <f>Distance!R37*6</f>
        <v>6.1440000000000001</v>
      </c>
      <c r="S37" s="33">
        <f>Distance!S37*6</f>
        <v>14.292000000000002</v>
      </c>
      <c r="T37" s="33">
        <f>Distance!T37*6</f>
        <v>32.97</v>
      </c>
      <c r="U37" s="33">
        <f>Distance!U37*6</f>
        <v>143.77199999999999</v>
      </c>
      <c r="V37" s="33">
        <f>Distance!V37*6</f>
        <v>39.269999999999996</v>
      </c>
      <c r="W37" s="33">
        <f>Distance!W37*6</f>
        <v>84.24</v>
      </c>
      <c r="X37" s="33">
        <f>Distance!X37*6</f>
        <v>51.570000000000007</v>
      </c>
      <c r="Y37" s="33">
        <f>Distance!Y37*6</f>
        <v>86.25</v>
      </c>
      <c r="Z37" s="33">
        <f>Distance!Z37*6</f>
        <v>111.816</v>
      </c>
      <c r="AA37" s="33">
        <f>Distance!AA37*6</f>
        <v>140.54399999999998</v>
      </c>
      <c r="AB37" s="33">
        <f>Distance!AB37*6</f>
        <v>186.30599999999998</v>
      </c>
      <c r="AC37" s="33">
        <f>Distance!AC37*6</f>
        <v>624.18600000000004</v>
      </c>
      <c r="AD37" s="33">
        <f>Distance!AD37*6</f>
        <v>178.35000000000002</v>
      </c>
      <c r="AE37" s="33">
        <f>Distance!AE37*6</f>
        <v>81.347999999999999</v>
      </c>
      <c r="AF37" s="33">
        <f>Distance!AF37*6</f>
        <v>250.86</v>
      </c>
      <c r="AG37" s="33">
        <f>Distance!AG37*6</f>
        <v>0.30599999999999999</v>
      </c>
      <c r="AH37" s="33">
        <f>Distance!AH37*6</f>
        <v>4.7520000000000007</v>
      </c>
      <c r="AI37" s="33">
        <f>Distance!AI37*6</f>
        <v>15.203999999999999</v>
      </c>
      <c r="AJ37" s="33">
        <f>Distance!AJ37*6</f>
        <v>11.303999999999998</v>
      </c>
      <c r="AK37" s="33">
        <v>9999</v>
      </c>
      <c r="AL37" s="33">
        <f>Distance!AL37*6</f>
        <v>111.94200000000001</v>
      </c>
      <c r="AM37" s="33">
        <f>Distance!AM37*6</f>
        <v>84.438000000000002</v>
      </c>
      <c r="AN37" s="33">
        <f>Distance!AN37*6</f>
        <v>107.45399999999999</v>
      </c>
      <c r="AO37" s="33">
        <f>Distance!AO37*6</f>
        <v>35.94</v>
      </c>
      <c r="AP37" s="33">
        <f>Distance!AP37*6</f>
        <v>17.736000000000001</v>
      </c>
      <c r="AQ37" s="33">
        <f>Distance!AQ37*6</f>
        <v>82.524000000000001</v>
      </c>
      <c r="AR37" s="33">
        <f>Distance!AR37*6</f>
        <v>83.825999999999993</v>
      </c>
      <c r="AS37" s="33">
        <f>Distance!AS37*6</f>
        <v>116.59199999999998</v>
      </c>
      <c r="AT37" s="33">
        <f>Distance!AT37*6</f>
        <v>194.80199999999999</v>
      </c>
      <c r="AU37" s="33">
        <f>Distance!AU37*6</f>
        <v>627.72</v>
      </c>
      <c r="AV37" s="33">
        <f>Distance!AV37*6</f>
        <v>83.393999999999991</v>
      </c>
      <c r="AW37" s="33">
        <f>Distance!AW37*6</f>
        <v>55.89</v>
      </c>
      <c r="AX37" s="33">
        <f>Distance!AX37*6</f>
        <v>219.79199999999997</v>
      </c>
      <c r="AY37" s="33">
        <f>Distance!AY37*6</f>
        <v>164.148</v>
      </c>
      <c r="AZ37" s="33">
        <f>Distance!AZ37*6</f>
        <v>286.45800000000003</v>
      </c>
    </row>
    <row r="38" spans="1:52">
      <c r="A38">
        <v>36</v>
      </c>
      <c r="B38" s="33">
        <f>Distance!B38*6</f>
        <v>100.29600000000001</v>
      </c>
      <c r="C38" s="33">
        <f>Distance!C38*6</f>
        <v>174.16800000000001</v>
      </c>
      <c r="D38" s="33">
        <f>Distance!D38*6</f>
        <v>105.06</v>
      </c>
      <c r="E38" s="33">
        <f>Distance!E38*6</f>
        <v>101.80199999999999</v>
      </c>
      <c r="F38" s="33">
        <f>Distance!F38*6</f>
        <v>89.424000000000007</v>
      </c>
      <c r="G38" s="33">
        <f>Distance!G38*6</f>
        <v>112.512</v>
      </c>
      <c r="H38" s="33">
        <f>Distance!H38*6</f>
        <v>95.555999999999997</v>
      </c>
      <c r="I38" s="33">
        <f>Distance!I38*6</f>
        <v>100.02000000000001</v>
      </c>
      <c r="J38" s="33">
        <f>Distance!J38*6</f>
        <v>91.65</v>
      </c>
      <c r="K38" s="33">
        <f>Distance!K38*6</f>
        <v>122.82</v>
      </c>
      <c r="L38" s="33">
        <f>Distance!L38*6</f>
        <v>126.81</v>
      </c>
      <c r="M38" s="33">
        <f>Distance!M38*6</f>
        <v>107.47199999999999</v>
      </c>
      <c r="N38" s="33">
        <f>Distance!N38*6</f>
        <v>107.214</v>
      </c>
      <c r="O38" s="33">
        <f>Distance!O38*6</f>
        <v>114.93599999999999</v>
      </c>
      <c r="P38" s="33">
        <f>Distance!P38*6</f>
        <v>120.69</v>
      </c>
      <c r="Q38" s="33">
        <f>Distance!Q38*6</f>
        <v>160.10999999999999</v>
      </c>
      <c r="R38" s="33">
        <f>Distance!R38*6</f>
        <v>120.53399999999999</v>
      </c>
      <c r="S38" s="33">
        <f>Distance!S38*6</f>
        <v>106.63199999999999</v>
      </c>
      <c r="T38" s="33">
        <f>Distance!T38*6</f>
        <v>100.66799999999999</v>
      </c>
      <c r="U38" s="33">
        <f>Distance!U38*6</f>
        <v>226.50599999999997</v>
      </c>
      <c r="V38" s="33">
        <f>Distance!V38*6</f>
        <v>120.69</v>
      </c>
      <c r="W38" s="33">
        <f>Distance!W38*6</f>
        <v>226.93200000000002</v>
      </c>
      <c r="X38" s="33">
        <f>Distance!X38*6</f>
        <v>109.902</v>
      </c>
      <c r="Y38" s="33">
        <f>Distance!Y38*6</f>
        <v>58.668000000000006</v>
      </c>
      <c r="Z38" s="33">
        <f>Distance!Z38*6</f>
        <v>194.54999999999998</v>
      </c>
      <c r="AA38" s="33">
        <f>Distance!AA38*6</f>
        <v>223.27800000000002</v>
      </c>
      <c r="AB38" s="33">
        <f>Distance!AB38*6</f>
        <v>122.84399999999999</v>
      </c>
      <c r="AC38" s="33">
        <f>Distance!AC38*6</f>
        <v>560.23199999999997</v>
      </c>
      <c r="AD38" s="33">
        <f>Distance!AD38*6</f>
        <v>261.084</v>
      </c>
      <c r="AE38" s="33">
        <f>Distance!AE38*6</f>
        <v>183.798</v>
      </c>
      <c r="AF38" s="33">
        <f>Distance!AF38*6</f>
        <v>333.59399999999999</v>
      </c>
      <c r="AG38" s="33">
        <f>Distance!AG38*6</f>
        <v>124.5</v>
      </c>
      <c r="AH38" s="33">
        <f>Distance!AH38*6</f>
        <v>114.762</v>
      </c>
      <c r="AI38" s="33">
        <f>Distance!AI38*6</f>
        <v>103.446</v>
      </c>
      <c r="AJ38" s="33">
        <f>Distance!AJ38*6</f>
        <v>106.5</v>
      </c>
      <c r="AK38" s="33">
        <f>Distance!AK38*6</f>
        <v>124.19400000000002</v>
      </c>
      <c r="AL38" s="33">
        <v>9999</v>
      </c>
      <c r="AM38" s="33">
        <f>Distance!AM38*6</f>
        <v>178.62</v>
      </c>
      <c r="AN38" s="33">
        <f>Distance!AN38*6</f>
        <v>202.99200000000002</v>
      </c>
      <c r="AO38" s="33">
        <f>Distance!AO38*6</f>
        <v>99.413999999999987</v>
      </c>
      <c r="AP38" s="33">
        <f>Distance!AP38*6</f>
        <v>116.07599999999999</v>
      </c>
      <c r="AQ38" s="33">
        <f>Distance!AQ38*6</f>
        <v>54.942</v>
      </c>
      <c r="AR38" s="33">
        <f>Distance!AR38*6</f>
        <v>155.988</v>
      </c>
      <c r="AS38" s="33">
        <f>Distance!AS38*6</f>
        <v>174.92400000000001</v>
      </c>
      <c r="AT38" s="33">
        <f>Distance!AT38*6</f>
        <v>97.086000000000013</v>
      </c>
      <c r="AU38" s="33">
        <f>Distance!AU38*6</f>
        <v>563.76599999999996</v>
      </c>
      <c r="AV38" s="33">
        <f>Distance!AV38*6</f>
        <v>141.726</v>
      </c>
      <c r="AW38" s="33">
        <f>Distance!AW38*6</f>
        <v>114.22199999999999</v>
      </c>
      <c r="AX38" s="33">
        <f>Distance!AX38*6</f>
        <v>326.952</v>
      </c>
      <c r="AY38" s="33">
        <f>Distance!AY38*6</f>
        <v>246.88200000000001</v>
      </c>
      <c r="AZ38" s="33">
        <f>Distance!AZ38*6</f>
        <v>422.29200000000003</v>
      </c>
    </row>
    <row r="39" spans="1:52">
      <c r="A39">
        <v>37</v>
      </c>
      <c r="B39" s="33">
        <f>Distance!B39*6</f>
        <v>121.77000000000001</v>
      </c>
      <c r="C39" s="33">
        <f>Distance!C39*6</f>
        <v>195.642</v>
      </c>
      <c r="D39" s="33">
        <f>Distance!D39*6</f>
        <v>94.103999999999999</v>
      </c>
      <c r="E39" s="33">
        <f>Distance!E39*6</f>
        <v>96.49799999999999</v>
      </c>
      <c r="F39" s="33">
        <f>Distance!F39*6</f>
        <v>169.64400000000001</v>
      </c>
      <c r="G39" s="33">
        <f>Distance!G39*6</f>
        <v>112.59</v>
      </c>
      <c r="H39" s="33">
        <f>Distance!H39*6</f>
        <v>172.72199999999998</v>
      </c>
      <c r="I39" s="33">
        <f>Distance!I39*6</f>
        <v>99.81</v>
      </c>
      <c r="J39" s="33">
        <f>Distance!J39*6</f>
        <v>117.32399999999998</v>
      </c>
      <c r="K39" s="33">
        <f>Distance!K39*6</f>
        <v>82.847999999999999</v>
      </c>
      <c r="L39" s="33">
        <f>Distance!L39*6</f>
        <v>82.068000000000012</v>
      </c>
      <c r="M39" s="33">
        <f>Distance!M39*6</f>
        <v>92.352000000000004</v>
      </c>
      <c r="N39" s="33">
        <f>Distance!N39*6</f>
        <v>94.44</v>
      </c>
      <c r="O39" s="33">
        <f>Distance!O39*6</f>
        <v>121.12200000000001</v>
      </c>
      <c r="P39" s="33">
        <f>Distance!P39*6</f>
        <v>116.10000000000001</v>
      </c>
      <c r="Q39" s="33">
        <f>Distance!Q39*6</f>
        <v>18.167999999999999</v>
      </c>
      <c r="R39" s="33">
        <f>Distance!R39*6</f>
        <v>84.563999999999993</v>
      </c>
      <c r="S39" s="33">
        <f>Distance!S39*6</f>
        <v>95.454000000000008</v>
      </c>
      <c r="T39" s="33">
        <f>Distance!T39*6</f>
        <v>120.276</v>
      </c>
      <c r="U39" s="33">
        <f>Distance!U39*6</f>
        <v>217.70999999999998</v>
      </c>
      <c r="V39" s="33">
        <f>Distance!V39*6</f>
        <v>116.10000000000001</v>
      </c>
      <c r="W39" s="33">
        <f>Distance!W39*6</f>
        <v>139.494</v>
      </c>
      <c r="X39" s="33">
        <f>Distance!X39*6</f>
        <v>131.376</v>
      </c>
      <c r="Y39" s="33">
        <f>Distance!Y39*6</f>
        <v>164.73599999999999</v>
      </c>
      <c r="Z39" s="33">
        <f>Distance!Z39*6</f>
        <v>185.75399999999999</v>
      </c>
      <c r="AA39" s="33">
        <f>Distance!AA39*6</f>
        <v>214.482</v>
      </c>
      <c r="AB39" s="33">
        <f>Distance!AB39*6</f>
        <v>247.92599999999999</v>
      </c>
      <c r="AC39" s="33">
        <f>Distance!AC39*6</f>
        <v>685.74599999999998</v>
      </c>
      <c r="AD39" s="33">
        <f>Distance!AD39*6</f>
        <v>252.28800000000001</v>
      </c>
      <c r="AE39" s="33">
        <f>Distance!AE39*6</f>
        <v>79.661999999999992</v>
      </c>
      <c r="AF39" s="33">
        <f>Distance!AF39*6</f>
        <v>324.798</v>
      </c>
      <c r="AG39" s="33">
        <f>Distance!AG39*6</f>
        <v>81.467999999999989</v>
      </c>
      <c r="AH39" s="33">
        <f>Distance!AH39*6</f>
        <v>85.914000000000001</v>
      </c>
      <c r="AI39" s="33">
        <f>Distance!AI39*6</f>
        <v>96.366</v>
      </c>
      <c r="AJ39" s="33">
        <f>Distance!AJ39*6</f>
        <v>92.465999999999994</v>
      </c>
      <c r="AK39" s="33">
        <f>Distance!AK39*6</f>
        <v>81.161999999999992</v>
      </c>
      <c r="AL39" s="33">
        <f>Distance!AL39*6</f>
        <v>173.56200000000001</v>
      </c>
      <c r="AM39" s="33">
        <v>9999</v>
      </c>
      <c r="AN39" s="33">
        <f>Distance!AN39*6</f>
        <v>44.387999999999998</v>
      </c>
      <c r="AO39" s="33">
        <f>Distance!AO39*6</f>
        <v>116.34</v>
      </c>
      <c r="AP39" s="33">
        <f>Distance!AP39*6</f>
        <v>102.24600000000001</v>
      </c>
      <c r="AQ39" s="33">
        <f>Distance!AQ39*6</f>
        <v>154.94999999999999</v>
      </c>
      <c r="AR39" s="33">
        <f>Distance!AR39*6</f>
        <v>161.49</v>
      </c>
      <c r="AS39" s="33">
        <f>Distance!AS39*6</f>
        <v>196.39799999999997</v>
      </c>
      <c r="AT39" s="33">
        <f>Distance!AT39*6</f>
        <v>256.42200000000003</v>
      </c>
      <c r="AU39" s="33">
        <f>Distance!AU39*6</f>
        <v>689.28</v>
      </c>
      <c r="AV39" s="33">
        <f>Distance!AV39*6</f>
        <v>163.19999999999999</v>
      </c>
      <c r="AW39" s="33">
        <f>Distance!AW39*6</f>
        <v>135.696</v>
      </c>
      <c r="AX39" s="33">
        <f>Distance!AX39*6</f>
        <v>275.04599999999999</v>
      </c>
      <c r="AY39" s="33">
        <f>Distance!AY39*6</f>
        <v>238.08599999999998</v>
      </c>
      <c r="AZ39" s="33">
        <f>Distance!AZ39*6</f>
        <v>228.89400000000001</v>
      </c>
    </row>
    <row r="40" spans="1:52">
      <c r="A40">
        <v>38</v>
      </c>
      <c r="B40" s="33">
        <f>Distance!B40*6</f>
        <v>145.12200000000001</v>
      </c>
      <c r="C40" s="33">
        <f>Distance!C40*6</f>
        <v>218.99400000000003</v>
      </c>
      <c r="D40" s="33">
        <f>Distance!D40*6</f>
        <v>117.456</v>
      </c>
      <c r="E40" s="33">
        <f>Distance!E40*6</f>
        <v>119.85000000000001</v>
      </c>
      <c r="F40" s="33">
        <f>Distance!F40*6</f>
        <v>192.99599999999998</v>
      </c>
      <c r="G40" s="33">
        <f>Distance!G40*6</f>
        <v>135.94200000000001</v>
      </c>
      <c r="H40" s="33">
        <f>Distance!H40*6</f>
        <v>152.36399999999998</v>
      </c>
      <c r="I40" s="33">
        <f>Distance!I40*6</f>
        <v>148.74</v>
      </c>
      <c r="J40" s="33">
        <f>Distance!J40*6</f>
        <v>140.268</v>
      </c>
      <c r="K40" s="33">
        <f>Distance!K40*6</f>
        <v>106.19999999999999</v>
      </c>
      <c r="L40" s="33">
        <f>Distance!L40*6</f>
        <v>105.42</v>
      </c>
      <c r="M40" s="33">
        <f>Distance!M40*6</f>
        <v>115.70399999999999</v>
      </c>
      <c r="N40" s="33">
        <f>Distance!N40*6</f>
        <v>117.792</v>
      </c>
      <c r="O40" s="33">
        <f>Distance!O40*6</f>
        <v>144.47399999999999</v>
      </c>
      <c r="P40" s="33">
        <f>Distance!P40*6</f>
        <v>139.452</v>
      </c>
      <c r="Q40" s="33">
        <f>Distance!Q40*6</f>
        <v>41.519999999999996</v>
      </c>
      <c r="R40" s="33">
        <f>Distance!R40*6</f>
        <v>107.916</v>
      </c>
      <c r="S40" s="33">
        <f>Distance!S40*6</f>
        <v>118.80599999999998</v>
      </c>
      <c r="T40" s="33">
        <f>Distance!T40*6</f>
        <v>143.62799999999999</v>
      </c>
      <c r="U40" s="33">
        <f>Distance!U40*6</f>
        <v>241.06200000000001</v>
      </c>
      <c r="V40" s="33">
        <f>Distance!V40*6</f>
        <v>139.452</v>
      </c>
      <c r="W40" s="33">
        <f>Distance!W40*6</f>
        <v>162.846</v>
      </c>
      <c r="X40" s="33">
        <f>Distance!X40*6</f>
        <v>154.72800000000001</v>
      </c>
      <c r="Y40" s="33">
        <f>Distance!Y40*6</f>
        <v>174.98400000000001</v>
      </c>
      <c r="Z40" s="33">
        <f>Distance!Z40*6</f>
        <v>209.10599999999999</v>
      </c>
      <c r="AA40" s="33">
        <f>Distance!AA40*6</f>
        <v>237.834</v>
      </c>
      <c r="AB40" s="33">
        <f>Distance!AB40*6</f>
        <v>269.04599999999999</v>
      </c>
      <c r="AC40" s="33">
        <f>Distance!AC40*6</f>
        <v>706.86599999999999</v>
      </c>
      <c r="AD40" s="33">
        <f>Distance!AD40*6</f>
        <v>275.64</v>
      </c>
      <c r="AE40" s="33">
        <f>Distance!AE40*6</f>
        <v>103.01400000000001</v>
      </c>
      <c r="AF40" s="33">
        <f>Distance!AF40*6</f>
        <v>348.15</v>
      </c>
      <c r="AG40" s="33">
        <f>Distance!AG40*6</f>
        <v>104.82</v>
      </c>
      <c r="AH40" s="33">
        <f>Distance!AH40*6</f>
        <v>109.26599999999999</v>
      </c>
      <c r="AI40" s="33">
        <f>Distance!AI40*6</f>
        <v>119.71799999999999</v>
      </c>
      <c r="AJ40" s="33">
        <f>Distance!AJ40*6</f>
        <v>115.81800000000001</v>
      </c>
      <c r="AK40" s="33">
        <f>Distance!AK40*6</f>
        <v>104.51400000000001</v>
      </c>
      <c r="AL40" s="33">
        <f>Distance!AL40*6</f>
        <v>194.68200000000002</v>
      </c>
      <c r="AM40" s="33">
        <f>Distance!AM40*6</f>
        <v>44.723999999999997</v>
      </c>
      <c r="AN40" s="33">
        <v>9999</v>
      </c>
      <c r="AO40" s="33">
        <f>Distance!AO40*6</f>
        <v>139.69200000000001</v>
      </c>
      <c r="AP40" s="33">
        <f>Distance!AP40*6</f>
        <v>125.598</v>
      </c>
      <c r="AQ40" s="33">
        <f>Distance!AQ40*6</f>
        <v>171.25799999999998</v>
      </c>
      <c r="AR40" s="33">
        <f>Distance!AR40*6</f>
        <v>184.84199999999998</v>
      </c>
      <c r="AS40" s="33">
        <f>Distance!AS40*6</f>
        <v>219.75</v>
      </c>
      <c r="AT40" s="33">
        <f>Distance!AT40*6</f>
        <v>277.54199999999997</v>
      </c>
      <c r="AU40" s="33">
        <f>Distance!AU40*6</f>
        <v>710.40000000000009</v>
      </c>
      <c r="AV40" s="33">
        <f>Distance!AV40*6</f>
        <v>186.55199999999999</v>
      </c>
      <c r="AW40" s="33">
        <f>Distance!AW40*6</f>
        <v>159.048</v>
      </c>
      <c r="AX40" s="33">
        <f>Distance!AX40*6</f>
        <v>298.39799999999997</v>
      </c>
      <c r="AY40" s="33">
        <f>Distance!AY40*6</f>
        <v>261.43799999999999</v>
      </c>
      <c r="AZ40" s="33">
        <f>Distance!AZ40*6</f>
        <v>191.214</v>
      </c>
    </row>
    <row r="41" spans="1:52">
      <c r="A41">
        <v>39</v>
      </c>
      <c r="B41" s="33">
        <f>Distance!B41*6</f>
        <v>6.7320000000000011</v>
      </c>
      <c r="C41" s="33">
        <f>Distance!C41*6</f>
        <v>80.603999999999999</v>
      </c>
      <c r="D41" s="33">
        <f>Distance!D41*6</f>
        <v>21.995999999999999</v>
      </c>
      <c r="E41" s="33">
        <f>Distance!E41*6</f>
        <v>18.738</v>
      </c>
      <c r="F41" s="33">
        <f>Distance!F41*6</f>
        <v>19.853999999999999</v>
      </c>
      <c r="G41" s="33">
        <f>Distance!G41*6</f>
        <v>19.265999999999998</v>
      </c>
      <c r="H41" s="33">
        <f>Distance!H41*6</f>
        <v>11.25</v>
      </c>
      <c r="I41" s="33">
        <f>Distance!I41*6</f>
        <v>22.049999999999997</v>
      </c>
      <c r="J41" s="33">
        <f>Distance!J41*6</f>
        <v>31.637999999999998</v>
      </c>
      <c r="K41" s="33">
        <f>Distance!K41*6</f>
        <v>27.012</v>
      </c>
      <c r="L41" s="33">
        <f>Distance!L41*6</f>
        <v>42.096000000000004</v>
      </c>
      <c r="M41" s="33">
        <f>Distance!M41*6</f>
        <v>23.448</v>
      </c>
      <c r="N41" s="33">
        <f>Distance!N41*6</f>
        <v>21.161999999999999</v>
      </c>
      <c r="O41" s="33">
        <f>Distance!O41*6</f>
        <v>10.295999999999999</v>
      </c>
      <c r="P41" s="33">
        <f>Distance!P41*6</f>
        <v>27.294000000000004</v>
      </c>
      <c r="Q41" s="33">
        <f>Distance!Q41*6</f>
        <v>98.28</v>
      </c>
      <c r="R41" s="33">
        <f>Distance!R41*6</f>
        <v>49.248000000000005</v>
      </c>
      <c r="S41" s="33">
        <f>Distance!S41*6</f>
        <v>21.827999999999999</v>
      </c>
      <c r="T41" s="33">
        <f>Distance!T41*6</f>
        <v>5.5680000000000005</v>
      </c>
      <c r="U41" s="33">
        <f>Distance!U41*6</f>
        <v>131.79599999999999</v>
      </c>
      <c r="V41" s="33">
        <f>Distance!V41*6</f>
        <v>18.12</v>
      </c>
      <c r="W41" s="33">
        <f>Distance!W41*6</f>
        <v>91.962000000000003</v>
      </c>
      <c r="X41" s="33">
        <f>Distance!X41*6</f>
        <v>16.338000000000001</v>
      </c>
      <c r="Y41" s="33">
        <f>Distance!Y41*6</f>
        <v>64.944000000000003</v>
      </c>
      <c r="Z41" s="33">
        <f>Distance!Z41*6</f>
        <v>99.84</v>
      </c>
      <c r="AA41" s="33">
        <f>Distance!AA41*6</f>
        <v>128.56800000000001</v>
      </c>
      <c r="AB41" s="33">
        <f>Distance!AB41*6</f>
        <v>174.99600000000001</v>
      </c>
      <c r="AC41" s="33">
        <f>Distance!AC41*6</f>
        <v>646.84199999999998</v>
      </c>
      <c r="AD41" s="33">
        <f>Distance!AD41*6</f>
        <v>166.374</v>
      </c>
      <c r="AE41" s="33">
        <f>Distance!AE41*6</f>
        <v>99.300000000000011</v>
      </c>
      <c r="AF41" s="33">
        <f>Distance!AF41*6</f>
        <v>238.88400000000001</v>
      </c>
      <c r="AG41" s="33">
        <f>Distance!AG41*6</f>
        <v>46.152000000000001</v>
      </c>
      <c r="AH41" s="33">
        <f>Distance!AH41*6</f>
        <v>23.591999999999999</v>
      </c>
      <c r="AI41" s="33">
        <f>Distance!AI41*6</f>
        <v>27.642000000000003</v>
      </c>
      <c r="AJ41" s="33">
        <f>Distance!AJ41*6</f>
        <v>30.695999999999998</v>
      </c>
      <c r="AK41" s="33">
        <f>Distance!AK41*6</f>
        <v>45.846000000000004</v>
      </c>
      <c r="AL41" s="33">
        <f>Distance!AL41*6</f>
        <v>100.83600000000001</v>
      </c>
      <c r="AM41" s="33">
        <f>Distance!AM41*6</f>
        <v>116.78999999999999</v>
      </c>
      <c r="AN41" s="33">
        <f>Distance!AN41*6</f>
        <v>139.80599999999998</v>
      </c>
      <c r="AO41" s="33">
        <v>9999</v>
      </c>
      <c r="AP41" s="33">
        <f>Distance!AP41*6</f>
        <v>21.582000000000001</v>
      </c>
      <c r="AQ41" s="33">
        <f>Distance!AQ41*6</f>
        <v>61.217999999999996</v>
      </c>
      <c r="AR41" s="33">
        <f>Distance!AR41*6</f>
        <v>62.423999999999999</v>
      </c>
      <c r="AS41" s="33">
        <f>Distance!AS41*6</f>
        <v>81.36</v>
      </c>
      <c r="AT41" s="33">
        <f>Distance!AT41*6</f>
        <v>183.696</v>
      </c>
      <c r="AU41" s="33">
        <f>Distance!AU41*6</f>
        <v>650.37599999999998</v>
      </c>
      <c r="AV41" s="33">
        <f>Distance!AV41*6</f>
        <v>48.161999999999992</v>
      </c>
      <c r="AW41" s="33">
        <f>Distance!AW41*6</f>
        <v>20.658000000000001</v>
      </c>
      <c r="AX41" s="33">
        <f>Distance!AX41*6</f>
        <v>232.24200000000002</v>
      </c>
      <c r="AY41" s="33">
        <f>Distance!AY41*6</f>
        <v>152.172</v>
      </c>
      <c r="AZ41" s="33">
        <f>Distance!AZ41*6</f>
        <v>304.40999999999997</v>
      </c>
    </row>
    <row r="42" spans="1:52">
      <c r="A42">
        <v>40</v>
      </c>
      <c r="B42" s="33">
        <f>Distance!B42*6</f>
        <v>26.597999999999999</v>
      </c>
      <c r="C42" s="33">
        <f>Distance!C42*6</f>
        <v>100.47</v>
      </c>
      <c r="D42" s="33">
        <f>Distance!D42*6</f>
        <v>20.22</v>
      </c>
      <c r="E42" s="33">
        <f>Distance!E42*6</f>
        <v>22.236000000000001</v>
      </c>
      <c r="F42" s="33">
        <f>Distance!F42*6</f>
        <v>40.602000000000004</v>
      </c>
      <c r="G42" s="33">
        <f>Distance!G42*6</f>
        <v>12.582000000000001</v>
      </c>
      <c r="H42" s="33">
        <f>Distance!H42*6</f>
        <v>31.853999999999999</v>
      </c>
      <c r="I42" s="33">
        <f>Distance!I42*6</f>
        <v>25.548000000000002</v>
      </c>
      <c r="J42" s="33">
        <f>Distance!J42*6</f>
        <v>26.027999999999999</v>
      </c>
      <c r="K42" s="33">
        <f>Distance!K42*6</f>
        <v>18.57</v>
      </c>
      <c r="L42" s="33">
        <f>Distance!L42*6</f>
        <v>20.765999999999998</v>
      </c>
      <c r="M42" s="33">
        <f>Distance!M42*6</f>
        <v>17.388000000000002</v>
      </c>
      <c r="N42" s="33">
        <f>Distance!N42*6</f>
        <v>17.832000000000001</v>
      </c>
      <c r="O42" s="33">
        <f>Distance!O42*6</f>
        <v>25.950000000000003</v>
      </c>
      <c r="P42" s="33">
        <f>Distance!P42*6</f>
        <v>20.97</v>
      </c>
      <c r="Q42" s="33">
        <f>Distance!Q42*6</f>
        <v>92.016000000000005</v>
      </c>
      <c r="R42" s="33">
        <f>Distance!R42*6</f>
        <v>22.128</v>
      </c>
      <c r="S42" s="33">
        <f>Distance!S42*6</f>
        <v>18.234000000000002</v>
      </c>
      <c r="T42" s="33">
        <f>Distance!T42*6</f>
        <v>25.031999999999996</v>
      </c>
      <c r="U42" s="33">
        <f>Distance!U42*6</f>
        <v>125.47199999999999</v>
      </c>
      <c r="V42" s="33">
        <f>Distance!V42*6</f>
        <v>20.97</v>
      </c>
      <c r="W42" s="33">
        <f>Distance!W42*6</f>
        <v>85.697999999999993</v>
      </c>
      <c r="X42" s="33">
        <f>Distance!X42*6</f>
        <v>36.204000000000001</v>
      </c>
      <c r="Y42" s="33">
        <f>Distance!Y42*6</f>
        <v>85.692000000000007</v>
      </c>
      <c r="Z42" s="33">
        <f>Distance!Z42*6</f>
        <v>93.516000000000005</v>
      </c>
      <c r="AA42" s="33">
        <f>Distance!AA42*6</f>
        <v>122.244</v>
      </c>
      <c r="AB42" s="33">
        <f>Distance!AB42*6</f>
        <v>195.74400000000003</v>
      </c>
      <c r="AC42" s="33">
        <f>Distance!AC42*6</f>
        <v>667.59</v>
      </c>
      <c r="AD42" s="33">
        <f>Distance!AD42*6</f>
        <v>160.05000000000001</v>
      </c>
      <c r="AE42" s="33">
        <f>Distance!AE42*6</f>
        <v>93.036000000000001</v>
      </c>
      <c r="AF42" s="33">
        <f>Distance!AF42*6</f>
        <v>232.56</v>
      </c>
      <c r="AG42" s="33">
        <f>Distance!AG42*6</f>
        <v>20.13</v>
      </c>
      <c r="AH42" s="33">
        <f>Distance!AH42*6</f>
        <v>15.149999999999999</v>
      </c>
      <c r="AI42" s="33">
        <f>Distance!AI42*6</f>
        <v>25.602000000000004</v>
      </c>
      <c r="AJ42" s="33">
        <f>Distance!AJ42*6</f>
        <v>21.701999999999998</v>
      </c>
      <c r="AK42" s="33">
        <f>Distance!AK42*6</f>
        <v>19.823999999999998</v>
      </c>
      <c r="AL42" s="33">
        <f>Distance!AL42*6</f>
        <v>121.584</v>
      </c>
      <c r="AM42" s="33">
        <f>Distance!AM42*6</f>
        <v>110.526</v>
      </c>
      <c r="AN42" s="33">
        <f>Distance!AN42*6</f>
        <v>133.542</v>
      </c>
      <c r="AO42" s="33">
        <f>Distance!AO42*6</f>
        <v>21.167999999999999</v>
      </c>
      <c r="AP42" s="33">
        <v>9999</v>
      </c>
      <c r="AQ42" s="33">
        <f>Distance!AQ42*6</f>
        <v>81.965999999999994</v>
      </c>
      <c r="AR42" s="33">
        <f>Distance!AR42*6</f>
        <v>65.525999999999996</v>
      </c>
      <c r="AS42" s="33">
        <f>Distance!AS42*6</f>
        <v>101.226</v>
      </c>
      <c r="AT42" s="33">
        <f>Distance!AT42*6</f>
        <v>204.44399999999999</v>
      </c>
      <c r="AU42" s="33">
        <f>Distance!AU42*6</f>
        <v>671.12400000000002</v>
      </c>
      <c r="AV42" s="33">
        <f>Distance!AV42*6</f>
        <v>68.027999999999992</v>
      </c>
      <c r="AW42" s="33">
        <f>Distance!AW42*6</f>
        <v>40.524000000000001</v>
      </c>
      <c r="AX42" s="33">
        <f>Distance!AX42*6</f>
        <v>225.91800000000001</v>
      </c>
      <c r="AY42" s="33">
        <f>Distance!AY42*6</f>
        <v>145.84800000000001</v>
      </c>
      <c r="AZ42" s="33">
        <f>Distance!AZ42*6</f>
        <v>298.14600000000002</v>
      </c>
    </row>
    <row r="43" spans="1:52">
      <c r="A43">
        <v>41</v>
      </c>
      <c r="B43" s="33">
        <f>Distance!B43*6</f>
        <v>62.465999999999994</v>
      </c>
      <c r="C43" s="33">
        <f>Distance!C43*6</f>
        <v>136.33799999999999</v>
      </c>
      <c r="D43" s="33">
        <f>Distance!D43*6</f>
        <v>73.518000000000001</v>
      </c>
      <c r="E43" s="33">
        <f>Distance!E43*6</f>
        <v>70.260000000000005</v>
      </c>
      <c r="F43" s="33">
        <f>Distance!F43*6</f>
        <v>51.594000000000001</v>
      </c>
      <c r="G43" s="33">
        <f>Distance!G43*6</f>
        <v>80.97</v>
      </c>
      <c r="H43" s="33">
        <f>Distance!H43*6</f>
        <v>57.725999999999999</v>
      </c>
      <c r="I43" s="33">
        <f>Distance!I43*6</f>
        <v>68.478000000000009</v>
      </c>
      <c r="J43" s="33">
        <f>Distance!J43*6</f>
        <v>60.108000000000004</v>
      </c>
      <c r="K43" s="33">
        <f>Distance!K43*6</f>
        <v>84.99</v>
      </c>
      <c r="L43" s="33">
        <f>Distance!L43*6</f>
        <v>88.98</v>
      </c>
      <c r="M43" s="33">
        <f>Distance!M43*6</f>
        <v>75.929999999999993</v>
      </c>
      <c r="N43" s="33">
        <f>Distance!N43*6</f>
        <v>75.671999999999997</v>
      </c>
      <c r="O43" s="33">
        <f>Distance!O43*6</f>
        <v>77.106000000000009</v>
      </c>
      <c r="P43" s="33">
        <f>Distance!P43*6</f>
        <v>82.86</v>
      </c>
      <c r="Q43" s="33">
        <f>Distance!Q43*6</f>
        <v>135.672</v>
      </c>
      <c r="R43" s="33">
        <f>Distance!R43*6</f>
        <v>82.704000000000008</v>
      </c>
      <c r="S43" s="33">
        <f>Distance!S43*6</f>
        <v>75.09</v>
      </c>
      <c r="T43" s="33">
        <f>Distance!T43*6</f>
        <v>62.838000000000008</v>
      </c>
      <c r="U43" s="33">
        <f>Distance!U43*6</f>
        <v>188.67600000000002</v>
      </c>
      <c r="V43" s="33">
        <f>Distance!V43*6</f>
        <v>82.86</v>
      </c>
      <c r="W43" s="33">
        <f>Distance!W43*6</f>
        <v>189.102</v>
      </c>
      <c r="X43" s="33">
        <f>Distance!X43*6</f>
        <v>72.072000000000003</v>
      </c>
      <c r="Y43" s="33">
        <f>Distance!Y43*6</f>
        <v>7.0259999999999998</v>
      </c>
      <c r="Z43" s="33">
        <f>Distance!Z43*6</f>
        <v>156.72</v>
      </c>
      <c r="AA43" s="33">
        <f>Distance!AA43*6</f>
        <v>185.44800000000001</v>
      </c>
      <c r="AB43" s="33">
        <f>Distance!AB43*6</f>
        <v>112.242</v>
      </c>
      <c r="AC43" s="33">
        <f>Distance!AC43*6</f>
        <v>603.31799999999998</v>
      </c>
      <c r="AD43" s="33">
        <f>Distance!AD43*6</f>
        <v>223.25400000000002</v>
      </c>
      <c r="AE43" s="33">
        <f>Distance!AE43*6</f>
        <v>160.71</v>
      </c>
      <c r="AF43" s="33">
        <f>Distance!AF43*6</f>
        <v>295.76400000000001</v>
      </c>
      <c r="AG43" s="33">
        <f>Distance!AG43*6</f>
        <v>86.67</v>
      </c>
      <c r="AH43" s="33">
        <f>Distance!AH43*6</f>
        <v>83.22</v>
      </c>
      <c r="AI43" s="33">
        <f>Distance!AI43*6</f>
        <v>71.903999999999996</v>
      </c>
      <c r="AJ43" s="33">
        <f>Distance!AJ43*6</f>
        <v>74.957999999999998</v>
      </c>
      <c r="AK43" s="33">
        <f>Distance!AK43*6</f>
        <v>86.364000000000004</v>
      </c>
      <c r="AL43" s="33">
        <f>Distance!AL43*6</f>
        <v>57.311999999999998</v>
      </c>
      <c r="AM43" s="33">
        <f>Distance!AM43*6</f>
        <v>154.18199999999999</v>
      </c>
      <c r="AN43" s="33">
        <f>Distance!AN43*6</f>
        <v>178.554</v>
      </c>
      <c r="AO43" s="33">
        <f>Distance!AO43*6</f>
        <v>61.583999999999996</v>
      </c>
      <c r="AP43" s="33">
        <f>Distance!AP43*6</f>
        <v>88.391999999999996</v>
      </c>
      <c r="AQ43" s="33">
        <v>9999</v>
      </c>
      <c r="AR43" s="33">
        <f>Distance!AR43*6</f>
        <v>118.15800000000002</v>
      </c>
      <c r="AS43" s="33">
        <f>Distance!AS43*6</f>
        <v>137.09399999999999</v>
      </c>
      <c r="AT43" s="33">
        <f>Distance!AT43*6</f>
        <v>140.172</v>
      </c>
      <c r="AU43" s="33">
        <f>Distance!AU43*6</f>
        <v>606.85199999999998</v>
      </c>
      <c r="AV43" s="33">
        <f>Distance!AV43*6</f>
        <v>103.89599999999999</v>
      </c>
      <c r="AW43" s="33">
        <f>Distance!AW43*6</f>
        <v>76.391999999999996</v>
      </c>
      <c r="AX43" s="33">
        <f>Distance!AX43*6</f>
        <v>289.12199999999996</v>
      </c>
      <c r="AY43" s="33">
        <f>Distance!AY43*6</f>
        <v>209.05199999999999</v>
      </c>
      <c r="AZ43" s="33">
        <f>Distance!AZ43*6</f>
        <v>384.46199999999999</v>
      </c>
    </row>
    <row r="44" spans="1:52">
      <c r="A44">
        <v>42</v>
      </c>
      <c r="B44" s="33">
        <f>Distance!B44*6</f>
        <v>56.94</v>
      </c>
      <c r="C44" s="33">
        <f>Distance!C44*6</f>
        <v>130.81200000000001</v>
      </c>
      <c r="D44" s="33">
        <f>Distance!D44*6</f>
        <v>86.207999999999998</v>
      </c>
      <c r="E44" s="33">
        <f>Distance!E44*6</f>
        <v>79.692000000000007</v>
      </c>
      <c r="F44" s="33">
        <f>Distance!F44*6</f>
        <v>76.86</v>
      </c>
      <c r="G44" s="33">
        <f>Distance!G44*6</f>
        <v>78.570000000000007</v>
      </c>
      <c r="H44" s="33">
        <f>Distance!H44*6</f>
        <v>72.150000000000006</v>
      </c>
      <c r="I44" s="33">
        <f>Distance!I44*6</f>
        <v>83.003999999999991</v>
      </c>
      <c r="J44" s="33">
        <f>Distance!J44*6</f>
        <v>94.98599999999999</v>
      </c>
      <c r="K44" s="33">
        <f>Distance!K44*6</f>
        <v>87.527999999999992</v>
      </c>
      <c r="L44" s="33">
        <f>Distance!L44*6</f>
        <v>90.036000000000001</v>
      </c>
      <c r="M44" s="33">
        <f>Distance!M44*6</f>
        <v>82.001999999999995</v>
      </c>
      <c r="N44" s="33">
        <f>Distance!N44*6</f>
        <v>83.820000000000007</v>
      </c>
      <c r="O44" s="33">
        <f>Distance!O44*6</f>
        <v>59.658000000000001</v>
      </c>
      <c r="P44" s="33">
        <f>Distance!P44*6</f>
        <v>51.378</v>
      </c>
      <c r="Q44" s="33">
        <f>Distance!Q44*6</f>
        <v>143.262</v>
      </c>
      <c r="R44" s="33">
        <f>Distance!R44*6</f>
        <v>97.188000000000002</v>
      </c>
      <c r="S44" s="33">
        <f>Distance!S44*6</f>
        <v>84.222000000000008</v>
      </c>
      <c r="T44" s="33">
        <f>Distance!T44*6</f>
        <v>66.611999999999995</v>
      </c>
      <c r="U44" s="33">
        <f>Distance!U44*6</f>
        <v>101.706</v>
      </c>
      <c r="V44" s="33">
        <f>Distance!V44*6</f>
        <v>51.378</v>
      </c>
      <c r="W44" s="33">
        <f>Distance!W44*6</f>
        <v>93.695999999999998</v>
      </c>
      <c r="X44" s="33">
        <f>Distance!X44*6</f>
        <v>66.545999999999992</v>
      </c>
      <c r="Y44" s="33">
        <f>Distance!Y44*6</f>
        <v>121.94999999999999</v>
      </c>
      <c r="Z44" s="33">
        <f>Distance!Z44*6</f>
        <v>69.75</v>
      </c>
      <c r="AA44" s="33">
        <f>Distance!AA44*6</f>
        <v>98.478000000000009</v>
      </c>
      <c r="AB44" s="33">
        <f>Distance!AB44*6</f>
        <v>232.00200000000001</v>
      </c>
      <c r="AC44" s="33">
        <f>Distance!AC44*6</f>
        <v>703.84800000000007</v>
      </c>
      <c r="AD44" s="33">
        <f>Distance!AD44*6</f>
        <v>136.28399999999999</v>
      </c>
      <c r="AE44" s="33">
        <f>Distance!AE44*6</f>
        <v>120.822</v>
      </c>
      <c r="AF44" s="33">
        <f>Distance!AF44*6</f>
        <v>208.79399999999998</v>
      </c>
      <c r="AG44" s="33">
        <f>Distance!AG44*6</f>
        <v>94.091999999999999</v>
      </c>
      <c r="AH44" s="33">
        <f>Distance!AH44*6</f>
        <v>84.108000000000004</v>
      </c>
      <c r="AI44" s="33">
        <f>Distance!AI44*6</f>
        <v>88.596000000000004</v>
      </c>
      <c r="AJ44" s="33">
        <f>Distance!AJ44*6</f>
        <v>90.66</v>
      </c>
      <c r="AK44" s="33">
        <f>Distance!AK44*6</f>
        <v>93.786000000000001</v>
      </c>
      <c r="AL44" s="33">
        <f>Distance!AL44*6</f>
        <v>157.84199999999998</v>
      </c>
      <c r="AM44" s="33">
        <f>Distance!AM44*6</f>
        <v>161.77199999999999</v>
      </c>
      <c r="AN44" s="33">
        <f>Distance!AN44*6</f>
        <v>184.78799999999998</v>
      </c>
      <c r="AO44" s="33">
        <f>Distance!AO44*6</f>
        <v>62.616</v>
      </c>
      <c r="AP44" s="33">
        <f>Distance!AP44*6</f>
        <v>69.474000000000004</v>
      </c>
      <c r="AQ44" s="33">
        <f>Distance!AQ44*6</f>
        <v>118.224</v>
      </c>
      <c r="AR44" s="33">
        <v>9999</v>
      </c>
      <c r="AS44" s="33">
        <f>Distance!AS44*6</f>
        <v>131.56800000000001</v>
      </c>
      <c r="AT44" s="33">
        <f>Distance!AT44*6</f>
        <v>240.702</v>
      </c>
      <c r="AU44" s="33">
        <f>Distance!AU44*6</f>
        <v>707.38200000000006</v>
      </c>
      <c r="AV44" s="33">
        <f>Distance!AV44*6</f>
        <v>98.37</v>
      </c>
      <c r="AW44" s="33">
        <f>Distance!AW44*6</f>
        <v>70.866</v>
      </c>
      <c r="AX44" s="33">
        <f>Distance!AX44*6</f>
        <v>202.15199999999999</v>
      </c>
      <c r="AY44" s="33">
        <f>Distance!AY44*6</f>
        <v>122.08200000000001</v>
      </c>
      <c r="AZ44" s="33">
        <f>Distance!AZ44*6</f>
        <v>326.73</v>
      </c>
    </row>
    <row r="45" spans="1:52">
      <c r="A45">
        <v>43</v>
      </c>
      <c r="B45" s="33">
        <f>Distance!B45*6</f>
        <v>78.947999999999993</v>
      </c>
      <c r="C45" s="33">
        <f>Distance!C45*6</f>
        <v>1.032</v>
      </c>
      <c r="D45" s="33">
        <f>Distance!D45*6</f>
        <v>101.892</v>
      </c>
      <c r="E45" s="33">
        <f>Distance!E45*6</f>
        <v>98.634</v>
      </c>
      <c r="F45" s="33">
        <f>Distance!F45*6</f>
        <v>95.802000000000007</v>
      </c>
      <c r="G45" s="33">
        <f>Distance!G45*6</f>
        <v>99.162000000000006</v>
      </c>
      <c r="H45" s="33">
        <f>Distance!H45*6</f>
        <v>91.091999999999999</v>
      </c>
      <c r="I45" s="33">
        <f>Distance!I45*6</f>
        <v>101.946</v>
      </c>
      <c r="J45" s="33">
        <f>Distance!J45*6</f>
        <v>111.53399999999999</v>
      </c>
      <c r="K45" s="33">
        <f>Distance!K45*6</f>
        <v>106.90800000000002</v>
      </c>
      <c r="L45" s="33">
        <f>Distance!L45*6</f>
        <v>121.902</v>
      </c>
      <c r="M45" s="33">
        <f>Distance!M45*6</f>
        <v>103.34399999999999</v>
      </c>
      <c r="N45" s="33">
        <f>Distance!N45*6</f>
        <v>101.05799999999999</v>
      </c>
      <c r="O45" s="33">
        <f>Distance!O45*6</f>
        <v>90.102000000000004</v>
      </c>
      <c r="P45" s="33">
        <f>Distance!P45*6</f>
        <v>95.856000000000009</v>
      </c>
      <c r="Q45" s="33">
        <f>Distance!Q45*6</f>
        <v>178.08600000000001</v>
      </c>
      <c r="R45" s="33">
        <f>Distance!R45*6</f>
        <v>111.60000000000001</v>
      </c>
      <c r="S45" s="33">
        <f>Distance!S45*6</f>
        <v>101.724</v>
      </c>
      <c r="T45" s="33">
        <f>Distance!T45*6</f>
        <v>85.554000000000002</v>
      </c>
      <c r="U45" s="33">
        <f>Distance!U45*6</f>
        <v>201.67200000000003</v>
      </c>
      <c r="V45" s="33">
        <f>Distance!V45*6</f>
        <v>95.856000000000009</v>
      </c>
      <c r="W45" s="33">
        <f>Distance!W45*6</f>
        <v>171.768</v>
      </c>
      <c r="X45" s="33">
        <f>Distance!X45*6</f>
        <v>68.207999999999998</v>
      </c>
      <c r="Y45" s="33">
        <f>Distance!Y45*6</f>
        <v>140.892</v>
      </c>
      <c r="Z45" s="33">
        <f>Distance!Z45*6</f>
        <v>169.71600000000001</v>
      </c>
      <c r="AA45" s="33">
        <f>Distance!AA45*6</f>
        <v>198.44399999999999</v>
      </c>
      <c r="AB45" s="33">
        <f>Distance!AB45*6</f>
        <v>250.94399999999999</v>
      </c>
      <c r="AC45" s="33">
        <f>Distance!AC45*6</f>
        <v>722.79</v>
      </c>
      <c r="AD45" s="33">
        <f>Distance!AD45*6</f>
        <v>236.25</v>
      </c>
      <c r="AE45" s="33">
        <f>Distance!AE45*6</f>
        <v>179.10599999999999</v>
      </c>
      <c r="AF45" s="33">
        <f>Distance!AF45*6</f>
        <v>308.76</v>
      </c>
      <c r="AG45" s="33">
        <f>Distance!AG45*6</f>
        <v>108.50399999999999</v>
      </c>
      <c r="AH45" s="33">
        <f>Distance!AH45*6</f>
        <v>103.488</v>
      </c>
      <c r="AI45" s="33">
        <f>Distance!AI45*6</f>
        <v>107.53799999999998</v>
      </c>
      <c r="AJ45" s="33">
        <f>Distance!AJ45*6</f>
        <v>110.59199999999998</v>
      </c>
      <c r="AK45" s="33">
        <f>Distance!AK45*6</f>
        <v>108.19800000000001</v>
      </c>
      <c r="AL45" s="33">
        <f>Distance!AL45*6</f>
        <v>176.78399999999999</v>
      </c>
      <c r="AM45" s="33">
        <f>Distance!AM45*6</f>
        <v>196.596</v>
      </c>
      <c r="AN45" s="33">
        <f>Distance!AN45*6</f>
        <v>219.61199999999997</v>
      </c>
      <c r="AO45" s="33">
        <f>Distance!AO45*6</f>
        <v>81.557999999999993</v>
      </c>
      <c r="AP45" s="33">
        <f>Distance!AP45*6</f>
        <v>101.38800000000001</v>
      </c>
      <c r="AQ45" s="33">
        <f>Distance!AQ45*6</f>
        <v>137.166</v>
      </c>
      <c r="AR45" s="33">
        <f>Distance!AR45*6</f>
        <v>131.154</v>
      </c>
      <c r="AS45" s="33">
        <v>9999</v>
      </c>
      <c r="AT45" s="33">
        <f>Distance!AT45*6</f>
        <v>259.64400000000001</v>
      </c>
      <c r="AU45" s="33">
        <f>Distance!AU45*6</f>
        <v>726.32400000000007</v>
      </c>
      <c r="AV45" s="33">
        <f>Distance!AV45*6</f>
        <v>59.244</v>
      </c>
      <c r="AW45" s="33">
        <f>Distance!AW45*6</f>
        <v>72.527999999999992</v>
      </c>
      <c r="AX45" s="33">
        <f>Distance!AX45*6</f>
        <v>302.11799999999999</v>
      </c>
      <c r="AY45" s="33">
        <f>Distance!AY45*6</f>
        <v>222.048</v>
      </c>
      <c r="AZ45" s="33">
        <f>Distance!AZ45*6</f>
        <v>384.21600000000001</v>
      </c>
    </row>
    <row r="46" spans="1:52">
      <c r="A46">
        <v>44</v>
      </c>
      <c r="B46" s="33">
        <f>Distance!B46*6</f>
        <v>182.39999999999998</v>
      </c>
      <c r="C46" s="33">
        <f>Distance!C46*6</f>
        <v>256.27200000000005</v>
      </c>
      <c r="D46" s="33">
        <f>Distance!D46*6</f>
        <v>187.16399999999999</v>
      </c>
      <c r="E46" s="33">
        <f>Distance!E46*6</f>
        <v>188.84399999999999</v>
      </c>
      <c r="F46" s="33">
        <f>Distance!F46*6</f>
        <v>171.52800000000002</v>
      </c>
      <c r="G46" s="33">
        <f>Distance!G46*6</f>
        <v>194.61599999999999</v>
      </c>
      <c r="H46" s="33">
        <f>Distance!H46*6</f>
        <v>177.66</v>
      </c>
      <c r="I46" s="33">
        <f>Distance!I46*6</f>
        <v>182.124</v>
      </c>
      <c r="J46" s="33">
        <f>Distance!J46*6</f>
        <v>173.75399999999999</v>
      </c>
      <c r="K46" s="33">
        <f>Distance!K46*6</f>
        <v>204.92400000000004</v>
      </c>
      <c r="L46" s="33">
        <f>Distance!L46*6</f>
        <v>208.91400000000002</v>
      </c>
      <c r="M46" s="33">
        <f>Distance!M46*6</f>
        <v>189.57599999999999</v>
      </c>
      <c r="N46" s="33">
        <f>Distance!N46*6</f>
        <v>189.31800000000001</v>
      </c>
      <c r="O46" s="33">
        <f>Distance!O46*6</f>
        <v>197.04000000000002</v>
      </c>
      <c r="P46" s="33">
        <f>Distance!P46*6</f>
        <v>202.79399999999998</v>
      </c>
      <c r="Q46" s="33">
        <f>Distance!Q46*6</f>
        <v>242.214</v>
      </c>
      <c r="R46" s="33">
        <f>Distance!R46*6</f>
        <v>202.63800000000003</v>
      </c>
      <c r="S46" s="33">
        <f>Distance!S46*6</f>
        <v>188.73599999999999</v>
      </c>
      <c r="T46" s="33">
        <f>Distance!T46*6</f>
        <v>182.77199999999999</v>
      </c>
      <c r="U46" s="33">
        <f>Distance!U46*6</f>
        <v>308.61</v>
      </c>
      <c r="V46" s="33">
        <f>Distance!V46*6</f>
        <v>202.79399999999998</v>
      </c>
      <c r="W46" s="33">
        <f>Distance!W46*6</f>
        <v>309.036</v>
      </c>
      <c r="X46" s="33">
        <f>Distance!X46*6</f>
        <v>192.00599999999997</v>
      </c>
      <c r="Y46" s="33">
        <f>Distance!Y46*6</f>
        <v>140.77199999999999</v>
      </c>
      <c r="Z46" s="33">
        <f>Distance!Z46*6</f>
        <v>276.654</v>
      </c>
      <c r="AA46" s="33">
        <f>Distance!AA46*6</f>
        <v>305.38200000000001</v>
      </c>
      <c r="AB46" s="33">
        <f>Distance!AB46*6</f>
        <v>226.66200000000001</v>
      </c>
      <c r="AC46" s="33">
        <f>Distance!AC46*6</f>
        <v>500.41800000000001</v>
      </c>
      <c r="AD46" s="33">
        <f>Distance!AD46*6</f>
        <v>343.18799999999999</v>
      </c>
      <c r="AE46" s="33">
        <f>Distance!AE46*6</f>
        <v>265.90199999999999</v>
      </c>
      <c r="AF46" s="33">
        <f>Distance!AF46*6</f>
        <v>415.69799999999998</v>
      </c>
      <c r="AG46" s="33">
        <f>Distance!AG46*6</f>
        <v>206.60399999999998</v>
      </c>
      <c r="AH46" s="33">
        <f>Distance!AH46*6</f>
        <v>196.86599999999999</v>
      </c>
      <c r="AI46" s="33">
        <f>Distance!AI46*6</f>
        <v>185.55</v>
      </c>
      <c r="AJ46" s="33">
        <f>Distance!AJ46*6</f>
        <v>188.60400000000001</v>
      </c>
      <c r="AK46" s="33">
        <f>Distance!AK46*6</f>
        <v>206.298</v>
      </c>
      <c r="AL46" s="33">
        <f>Distance!AL46*6</f>
        <v>95.22</v>
      </c>
      <c r="AM46" s="33">
        <f>Distance!AM46*6</f>
        <v>260.72399999999999</v>
      </c>
      <c r="AN46" s="33">
        <f>Distance!AN46*6</f>
        <v>285.096</v>
      </c>
      <c r="AO46" s="33">
        <f>Distance!AO46*6</f>
        <v>181.518</v>
      </c>
      <c r="AP46" s="33">
        <f>Distance!AP46*6</f>
        <v>198.18</v>
      </c>
      <c r="AQ46" s="33">
        <f>Distance!AQ46*6</f>
        <v>137.04599999999999</v>
      </c>
      <c r="AR46" s="33">
        <f>Distance!AR46*6</f>
        <v>238.09200000000001</v>
      </c>
      <c r="AS46" s="33">
        <f>Distance!AS46*6</f>
        <v>257.02800000000002</v>
      </c>
      <c r="AT46" s="33">
        <v>9999</v>
      </c>
      <c r="AU46" s="33">
        <f>Distance!AU46*6</f>
        <v>503.952</v>
      </c>
      <c r="AV46" s="33">
        <f>Distance!AV46*6</f>
        <v>223.82999999999998</v>
      </c>
      <c r="AW46" s="33">
        <f>Distance!AW46*6</f>
        <v>196.32599999999996</v>
      </c>
      <c r="AX46" s="33">
        <f>Distance!AX46*6</f>
        <v>409.05600000000004</v>
      </c>
      <c r="AY46" s="33">
        <f>Distance!AY46*6</f>
        <v>328.98599999999999</v>
      </c>
      <c r="AZ46" s="33">
        <f>Distance!AZ46*6</f>
        <v>504.39600000000002</v>
      </c>
    </row>
    <row r="47" spans="1:52">
      <c r="A47">
        <v>45</v>
      </c>
      <c r="B47" s="33">
        <f>Distance!B47*6</f>
        <v>650.89200000000005</v>
      </c>
      <c r="C47" s="33">
        <f>Distance!C47*6</f>
        <v>724.76400000000001</v>
      </c>
      <c r="D47" s="33">
        <f>Distance!D47*6</f>
        <v>621.74399999999991</v>
      </c>
      <c r="E47" s="33">
        <f>Distance!E47*6</f>
        <v>618.48599999999999</v>
      </c>
      <c r="F47" s="33">
        <f>Distance!F47*6</f>
        <v>640.02</v>
      </c>
      <c r="G47" s="33">
        <f>Distance!G47*6</f>
        <v>629.19600000000003</v>
      </c>
      <c r="H47" s="33">
        <f>Distance!H47*6</f>
        <v>646.15199999999993</v>
      </c>
      <c r="I47" s="33">
        <f>Distance!I47*6</f>
        <v>616.70400000000006</v>
      </c>
      <c r="J47" s="33">
        <f>Distance!J47*6</f>
        <v>608.33399999999995</v>
      </c>
      <c r="K47" s="33">
        <f>Distance!K47*6</f>
        <v>673.41600000000005</v>
      </c>
      <c r="L47" s="33">
        <f>Distance!L47*6</f>
        <v>677.40599999999995</v>
      </c>
      <c r="M47" s="33">
        <f>Distance!M47*6</f>
        <v>624.15599999999995</v>
      </c>
      <c r="N47" s="33">
        <f>Distance!N47*6</f>
        <v>623.89800000000002</v>
      </c>
      <c r="O47" s="33">
        <f>Distance!O47*6</f>
        <v>665.53199999999993</v>
      </c>
      <c r="P47" s="33">
        <f>Distance!P47*6</f>
        <v>671.28600000000006</v>
      </c>
      <c r="Q47" s="33">
        <f>Distance!Q47*6</f>
        <v>710.7059999999999</v>
      </c>
      <c r="R47" s="33">
        <f>Distance!R47*6</f>
        <v>671.13</v>
      </c>
      <c r="S47" s="33">
        <f>Distance!S47*6</f>
        <v>623.31600000000003</v>
      </c>
      <c r="T47" s="33">
        <f>Distance!T47*6</f>
        <v>651.26400000000001</v>
      </c>
      <c r="U47" s="33">
        <f>Distance!U47*6</f>
        <v>777.10199999999998</v>
      </c>
      <c r="V47" s="33">
        <f>Distance!V47*6</f>
        <v>671.28600000000006</v>
      </c>
      <c r="W47" s="33">
        <f>Distance!W47*6</f>
        <v>777.52800000000002</v>
      </c>
      <c r="X47" s="33">
        <f>Distance!X47*6</f>
        <v>660.49800000000005</v>
      </c>
      <c r="Y47" s="33">
        <f>Distance!Y47*6</f>
        <v>609.26400000000001</v>
      </c>
      <c r="Z47" s="33">
        <f>Distance!Z47*6</f>
        <v>745.14599999999996</v>
      </c>
      <c r="AA47" s="33">
        <f>Distance!AA47*6</f>
        <v>773.87400000000002</v>
      </c>
      <c r="AB47" s="33">
        <f>Distance!AB47*6</f>
        <v>695.154</v>
      </c>
      <c r="AC47" s="33">
        <f>Distance!AC47*6</f>
        <v>3.5279999999999996</v>
      </c>
      <c r="AD47" s="33">
        <f>Distance!AD47*6</f>
        <v>811.68000000000006</v>
      </c>
      <c r="AE47" s="33">
        <f>Distance!AE47*6</f>
        <v>734.39400000000001</v>
      </c>
      <c r="AF47" s="33">
        <f>Distance!AF47*6</f>
        <v>884.19</v>
      </c>
      <c r="AG47" s="33">
        <f>Distance!AG47*6</f>
        <v>675.096</v>
      </c>
      <c r="AH47" s="33">
        <f>Distance!AH47*6</f>
        <v>631.44600000000003</v>
      </c>
      <c r="AI47" s="33">
        <f>Distance!AI47*6</f>
        <v>620.13</v>
      </c>
      <c r="AJ47" s="33">
        <f>Distance!AJ47*6</f>
        <v>623.18399999999997</v>
      </c>
      <c r="AK47" s="33">
        <f>Distance!AK47*6</f>
        <v>674.79</v>
      </c>
      <c r="AL47" s="33">
        <f>Distance!AL47*6</f>
        <v>563.71199999999999</v>
      </c>
      <c r="AM47" s="33">
        <f>Distance!AM47*6</f>
        <v>729.21600000000001</v>
      </c>
      <c r="AN47" s="33">
        <f>Distance!AN47*6</f>
        <v>753.58799999999997</v>
      </c>
      <c r="AO47" s="33">
        <f>Distance!AO47*6</f>
        <v>650.01</v>
      </c>
      <c r="AP47" s="33">
        <f>Distance!AP47*6</f>
        <v>632.76</v>
      </c>
      <c r="AQ47" s="33">
        <f>Distance!AQ47*6</f>
        <v>605.53800000000001</v>
      </c>
      <c r="AR47" s="33">
        <f>Distance!AR47*6</f>
        <v>706.58399999999995</v>
      </c>
      <c r="AS47" s="33">
        <f>Distance!AS47*6</f>
        <v>725.52</v>
      </c>
      <c r="AT47" s="33">
        <f>Distance!AT47*6</f>
        <v>501.65999999999997</v>
      </c>
      <c r="AU47" s="33">
        <v>9999</v>
      </c>
      <c r="AV47" s="33">
        <f>Distance!AV47*6</f>
        <v>692.322</v>
      </c>
      <c r="AW47" s="33">
        <f>Distance!AW47*6</f>
        <v>664.81799999999998</v>
      </c>
      <c r="AX47" s="33">
        <f>Distance!AX47*6</f>
        <v>877.548</v>
      </c>
      <c r="AY47" s="33">
        <f>Distance!AY47*6</f>
        <v>797.47800000000007</v>
      </c>
      <c r="AZ47" s="33">
        <f>Distance!AZ47*6</f>
        <v>972.88799999999992</v>
      </c>
    </row>
    <row r="48" spans="1:52">
      <c r="A48">
        <v>46</v>
      </c>
      <c r="B48" s="33">
        <f>Distance!B48*6</f>
        <v>45.695999999999998</v>
      </c>
      <c r="C48" s="33">
        <f>Distance!C48*6</f>
        <v>58.434000000000005</v>
      </c>
      <c r="D48" s="33">
        <f>Distance!D48*6</f>
        <v>68.64</v>
      </c>
      <c r="E48" s="33">
        <f>Distance!E48*6</f>
        <v>65.382000000000005</v>
      </c>
      <c r="F48" s="33">
        <f>Distance!F48*6</f>
        <v>62.550000000000004</v>
      </c>
      <c r="G48" s="33">
        <f>Distance!G48*6</f>
        <v>65.91</v>
      </c>
      <c r="H48" s="33">
        <f>Distance!H48*6</f>
        <v>57.84</v>
      </c>
      <c r="I48" s="33">
        <f>Distance!I48*6</f>
        <v>68.694000000000003</v>
      </c>
      <c r="J48" s="33">
        <f>Distance!J48*6</f>
        <v>78.282000000000011</v>
      </c>
      <c r="K48" s="33">
        <f>Distance!K48*6</f>
        <v>73.656000000000006</v>
      </c>
      <c r="L48" s="33">
        <f>Distance!L48*6</f>
        <v>88.65</v>
      </c>
      <c r="M48" s="33">
        <f>Distance!M48*6</f>
        <v>70.091999999999999</v>
      </c>
      <c r="N48" s="33">
        <f>Distance!N48*6</f>
        <v>67.805999999999997</v>
      </c>
      <c r="O48" s="33">
        <f>Distance!O48*6</f>
        <v>56.849999999999994</v>
      </c>
      <c r="P48" s="33">
        <f>Distance!P48*6</f>
        <v>62.603999999999999</v>
      </c>
      <c r="Q48" s="33">
        <f>Distance!Q48*6</f>
        <v>144.834</v>
      </c>
      <c r="R48" s="33">
        <f>Distance!R48*6</f>
        <v>78.347999999999999</v>
      </c>
      <c r="S48" s="33">
        <f>Distance!S48*6</f>
        <v>68.472000000000008</v>
      </c>
      <c r="T48" s="33">
        <f>Distance!T48*6</f>
        <v>52.302000000000007</v>
      </c>
      <c r="U48" s="33">
        <f>Distance!U48*6</f>
        <v>168.42000000000002</v>
      </c>
      <c r="V48" s="33">
        <f>Distance!V48*6</f>
        <v>62.603999999999999</v>
      </c>
      <c r="W48" s="33">
        <f>Distance!W48*6</f>
        <v>138.51599999999999</v>
      </c>
      <c r="X48" s="33">
        <f>Distance!X48*6</f>
        <v>34.955999999999996</v>
      </c>
      <c r="Y48" s="33">
        <f>Distance!Y48*6</f>
        <v>107.64000000000001</v>
      </c>
      <c r="Z48" s="33">
        <f>Distance!Z48*6</f>
        <v>143.22</v>
      </c>
      <c r="AA48" s="33">
        <f>Distance!AA48*6</f>
        <v>165.19200000000001</v>
      </c>
      <c r="AB48" s="33">
        <f>Distance!AB48*6</f>
        <v>217.69199999999998</v>
      </c>
      <c r="AC48" s="33">
        <f>Distance!AC48*6</f>
        <v>689.53800000000001</v>
      </c>
      <c r="AD48" s="33">
        <f>Distance!AD48*6</f>
        <v>209.214</v>
      </c>
      <c r="AE48" s="33">
        <f>Distance!AE48*6</f>
        <v>145.85400000000001</v>
      </c>
      <c r="AF48" s="33">
        <f>Distance!AF48*6</f>
        <v>275.50799999999998</v>
      </c>
      <c r="AG48" s="33">
        <f>Distance!AG48*6</f>
        <v>75.251999999999995</v>
      </c>
      <c r="AH48" s="33">
        <f>Distance!AH48*6</f>
        <v>70.23599999999999</v>
      </c>
      <c r="AI48" s="33">
        <f>Distance!AI48*6</f>
        <v>74.286000000000001</v>
      </c>
      <c r="AJ48" s="33">
        <f>Distance!AJ48*6</f>
        <v>77.34</v>
      </c>
      <c r="AK48" s="33">
        <f>Distance!AK48*6</f>
        <v>74.945999999999998</v>
      </c>
      <c r="AL48" s="33">
        <f>Distance!AL48*6</f>
        <v>143.53200000000001</v>
      </c>
      <c r="AM48" s="33">
        <f>Distance!AM48*6</f>
        <v>163.34399999999999</v>
      </c>
      <c r="AN48" s="33">
        <f>Distance!AN48*6</f>
        <v>186.35999999999999</v>
      </c>
      <c r="AO48" s="33">
        <f>Distance!AO48*6</f>
        <v>48.305999999999997</v>
      </c>
      <c r="AP48" s="33">
        <f>Distance!AP48*6</f>
        <v>68.135999999999996</v>
      </c>
      <c r="AQ48" s="33">
        <f>Distance!AQ48*6</f>
        <v>103.91399999999999</v>
      </c>
      <c r="AR48" s="33">
        <f>Distance!AR48*6</f>
        <v>97.902000000000001</v>
      </c>
      <c r="AS48" s="33">
        <f>Distance!AS48*6</f>
        <v>59.19</v>
      </c>
      <c r="AT48" s="33">
        <f>Distance!AT48*6</f>
        <v>226.392</v>
      </c>
      <c r="AU48" s="33">
        <f>Distance!AU48*6</f>
        <v>693.072</v>
      </c>
      <c r="AV48" s="33">
        <v>9999</v>
      </c>
      <c r="AW48" s="33">
        <f>Distance!AW48*6</f>
        <v>39.276000000000003</v>
      </c>
      <c r="AX48" s="33">
        <f>Distance!AX48*6</f>
        <v>268.86599999999999</v>
      </c>
      <c r="AY48" s="33">
        <f>Distance!AY48*6</f>
        <v>194.982</v>
      </c>
      <c r="AZ48" s="33">
        <f>Distance!AZ48*6</f>
        <v>350.964</v>
      </c>
    </row>
    <row r="49" spans="1:52">
      <c r="A49">
        <v>47</v>
      </c>
      <c r="B49" s="33">
        <f>Distance!B49*6</f>
        <v>17.91</v>
      </c>
      <c r="C49" s="33">
        <f>Distance!C49*6</f>
        <v>71.207999999999998</v>
      </c>
      <c r="D49" s="33">
        <f>Distance!D49*6</f>
        <v>40.853999999999999</v>
      </c>
      <c r="E49" s="33">
        <f>Distance!E49*6</f>
        <v>37.596000000000004</v>
      </c>
      <c r="F49" s="33">
        <f>Distance!F49*6</f>
        <v>21.725999999999999</v>
      </c>
      <c r="G49" s="33">
        <f>Distance!G49*6</f>
        <v>38.124000000000002</v>
      </c>
      <c r="H49" s="33">
        <f>Distance!H49*6</f>
        <v>24.954000000000001</v>
      </c>
      <c r="I49" s="33">
        <f>Distance!I49*6</f>
        <v>40.908000000000001</v>
      </c>
      <c r="J49" s="33">
        <f>Distance!J49*6</f>
        <v>50.496000000000002</v>
      </c>
      <c r="K49" s="33">
        <f>Distance!K49*6</f>
        <v>45.87</v>
      </c>
      <c r="L49" s="33">
        <f>Distance!L49*6</f>
        <v>60.864000000000004</v>
      </c>
      <c r="M49" s="33">
        <f>Distance!M49*6</f>
        <v>42.305999999999997</v>
      </c>
      <c r="N49" s="33">
        <f>Distance!N49*6</f>
        <v>40.019999999999996</v>
      </c>
      <c r="O49" s="33">
        <f>Distance!O49*6</f>
        <v>29.064</v>
      </c>
      <c r="P49" s="33">
        <f>Distance!P49*6</f>
        <v>34.817999999999998</v>
      </c>
      <c r="Q49" s="33">
        <f>Distance!Q49*6</f>
        <v>134.82599999999999</v>
      </c>
      <c r="R49" s="33">
        <f>Distance!R49*6</f>
        <v>50.561999999999998</v>
      </c>
      <c r="S49" s="33">
        <f>Distance!S49*6</f>
        <v>40.686</v>
      </c>
      <c r="T49" s="33">
        <f>Distance!T49*6</f>
        <v>24.516000000000002</v>
      </c>
      <c r="U49" s="33">
        <f>Distance!U49*6</f>
        <v>140.63400000000001</v>
      </c>
      <c r="V49" s="33">
        <f>Distance!V49*6</f>
        <v>34.817999999999998</v>
      </c>
      <c r="W49" s="33">
        <f>Distance!W49*6</f>
        <v>110.72999999999999</v>
      </c>
      <c r="X49" s="33">
        <f>Distance!X49*6</f>
        <v>5.4</v>
      </c>
      <c r="Y49" s="33">
        <f>Distance!Y49*6</f>
        <v>79.853999999999999</v>
      </c>
      <c r="Z49" s="33">
        <f>Distance!Z49*6</f>
        <v>108.678</v>
      </c>
      <c r="AA49" s="33">
        <f>Distance!AA49*6</f>
        <v>137.40600000000001</v>
      </c>
      <c r="AB49" s="33">
        <f>Distance!AB49*6</f>
        <v>189.90600000000001</v>
      </c>
      <c r="AC49" s="33">
        <f>Distance!AC49*6</f>
        <v>661.75199999999995</v>
      </c>
      <c r="AD49" s="33">
        <f>Distance!AD49*6</f>
        <v>175.21200000000002</v>
      </c>
      <c r="AE49" s="33">
        <f>Distance!AE49*6</f>
        <v>118.06800000000001</v>
      </c>
      <c r="AF49" s="33">
        <f>Distance!AF49*6</f>
        <v>247.72199999999998</v>
      </c>
      <c r="AG49" s="33">
        <f>Distance!AG49*6</f>
        <v>47.465999999999994</v>
      </c>
      <c r="AH49" s="33">
        <f>Distance!AH49*6</f>
        <v>42.45</v>
      </c>
      <c r="AI49" s="33">
        <f>Distance!AI49*6</f>
        <v>46.5</v>
      </c>
      <c r="AJ49" s="33">
        <f>Distance!AJ49*6</f>
        <v>49.554000000000002</v>
      </c>
      <c r="AK49" s="33">
        <f>Distance!AK49*6</f>
        <v>47.160000000000004</v>
      </c>
      <c r="AL49" s="33">
        <f>Distance!AL49*6</f>
        <v>115.74600000000001</v>
      </c>
      <c r="AM49" s="33">
        <f>Distance!AM49*6</f>
        <v>153</v>
      </c>
      <c r="AN49" s="33">
        <f>Distance!AN49*6</f>
        <v>177.708</v>
      </c>
      <c r="AO49" s="33">
        <f>Distance!AO49*6</f>
        <v>20.52</v>
      </c>
      <c r="AP49" s="33">
        <f>Distance!AP49*6</f>
        <v>40.349999999999994</v>
      </c>
      <c r="AQ49" s="33">
        <f>Distance!AQ49*6</f>
        <v>76.128</v>
      </c>
      <c r="AR49" s="33">
        <f>Distance!AR49*6</f>
        <v>70.116</v>
      </c>
      <c r="AS49" s="33">
        <f>Distance!AS49*6</f>
        <v>71.963999999999999</v>
      </c>
      <c r="AT49" s="33">
        <f>Distance!AT49*6</f>
        <v>198.60599999999999</v>
      </c>
      <c r="AU49" s="33">
        <f>Distance!AU49*6</f>
        <v>665.28600000000006</v>
      </c>
      <c r="AV49" s="33">
        <f>Distance!AV49*6</f>
        <v>38.766000000000005</v>
      </c>
      <c r="AW49" s="33">
        <v>9999</v>
      </c>
      <c r="AX49" s="33">
        <f>Distance!AX49*6</f>
        <v>241.07999999999998</v>
      </c>
      <c r="AY49" s="33">
        <f>Distance!AY49*6</f>
        <v>161.01</v>
      </c>
      <c r="AZ49" s="33">
        <f>Distance!AZ49*6</f>
        <v>323.178</v>
      </c>
    </row>
    <row r="50" spans="1:52">
      <c r="A50">
        <v>48</v>
      </c>
      <c r="B50" s="33">
        <f>Distance!B50*6</f>
        <v>221.45999999999998</v>
      </c>
      <c r="C50" s="33">
        <f>Distance!C50*6</f>
        <v>295.33199999999999</v>
      </c>
      <c r="D50" s="33">
        <f>Distance!D50*6</f>
        <v>236.52</v>
      </c>
      <c r="E50" s="33">
        <f>Distance!E50*6</f>
        <v>232.56</v>
      </c>
      <c r="F50" s="33">
        <f>Distance!F50*6</f>
        <v>241.38</v>
      </c>
      <c r="G50" s="33">
        <f>Distance!G50*6</f>
        <v>228.88200000000001</v>
      </c>
      <c r="H50" s="33">
        <f>Distance!H50*6</f>
        <v>237.13800000000003</v>
      </c>
      <c r="I50" s="33">
        <f>Distance!I50*6</f>
        <v>235.87199999999999</v>
      </c>
      <c r="J50" s="33">
        <f>Distance!J50*6</f>
        <v>227.37</v>
      </c>
      <c r="K50" s="33">
        <f>Distance!K50*6</f>
        <v>214.92000000000002</v>
      </c>
      <c r="L50" s="33">
        <f>Distance!L50*6</f>
        <v>210.20999999999998</v>
      </c>
      <c r="M50" s="33">
        <f>Distance!M50*6</f>
        <v>232.31400000000002</v>
      </c>
      <c r="N50" s="33">
        <f>Distance!N50*6</f>
        <v>234.13200000000001</v>
      </c>
      <c r="O50" s="33">
        <f>Distance!O50*6</f>
        <v>223.42200000000003</v>
      </c>
      <c r="P50" s="33">
        <f>Distance!P50*6</f>
        <v>216.07799999999997</v>
      </c>
      <c r="Q50" s="33">
        <f>Distance!Q50*6</f>
        <v>250.34399999999999</v>
      </c>
      <c r="R50" s="33">
        <f>Distance!R50*6</f>
        <v>246.024</v>
      </c>
      <c r="S50" s="33">
        <f>Distance!S50*6</f>
        <v>234.53399999999999</v>
      </c>
      <c r="T50" s="33">
        <f>Distance!T50*6</f>
        <v>230.31600000000003</v>
      </c>
      <c r="U50" s="33">
        <f>Distance!U50*6</f>
        <v>182.232</v>
      </c>
      <c r="V50" s="33">
        <f>Distance!V50*6</f>
        <v>216.07799999999997</v>
      </c>
      <c r="W50" s="33">
        <f>Distance!W50*6</f>
        <v>144.96600000000001</v>
      </c>
      <c r="X50" s="33">
        <f>Distance!X50*6</f>
        <v>231.06600000000003</v>
      </c>
      <c r="Y50" s="33">
        <f>Distance!Y50*6</f>
        <v>286.46999999999997</v>
      </c>
      <c r="Z50" s="33">
        <f>Distance!Z50*6</f>
        <v>150.27600000000001</v>
      </c>
      <c r="AA50" s="33">
        <f>Distance!AA50*6</f>
        <v>179.00399999999999</v>
      </c>
      <c r="AB50" s="33">
        <f>Distance!AB50*6</f>
        <v>396.52200000000005</v>
      </c>
      <c r="AC50" s="33">
        <f>Distance!AC50*6</f>
        <v>863.08200000000011</v>
      </c>
      <c r="AD50" s="33">
        <f>Distance!AD50*6</f>
        <v>216.81</v>
      </c>
      <c r="AE50" s="33">
        <f>Distance!AE50*6</f>
        <v>227.904</v>
      </c>
      <c r="AF50" s="33">
        <f>Distance!AF50*6</f>
        <v>289.32</v>
      </c>
      <c r="AG50" s="33">
        <f>Distance!AG50*6</f>
        <v>213.54000000000002</v>
      </c>
      <c r="AH50" s="33">
        <f>Distance!AH50*6</f>
        <v>216.49200000000002</v>
      </c>
      <c r="AI50" s="33">
        <f>Distance!AI50*6</f>
        <v>240.95400000000001</v>
      </c>
      <c r="AJ50" s="33">
        <f>Distance!AJ50*6</f>
        <v>223.04399999999998</v>
      </c>
      <c r="AK50" s="33">
        <f>Distance!AK50*6</f>
        <v>213.23400000000001</v>
      </c>
      <c r="AL50" s="33">
        <f>Distance!AL50*6</f>
        <v>322.36199999999997</v>
      </c>
      <c r="AM50" s="33">
        <f>Distance!AM50*6</f>
        <v>268.85399999999998</v>
      </c>
      <c r="AN50" s="33">
        <f>Distance!AN50*6</f>
        <v>291.87</v>
      </c>
      <c r="AO50" s="33">
        <f>Distance!AO50*6</f>
        <v>226.452</v>
      </c>
      <c r="AP50" s="33">
        <f>Distance!AP50*6</f>
        <v>219.786</v>
      </c>
      <c r="AQ50" s="33">
        <f>Distance!AQ50*6</f>
        <v>282.74400000000003</v>
      </c>
      <c r="AR50" s="33">
        <f>Distance!AR50*6</f>
        <v>196.59</v>
      </c>
      <c r="AS50" s="33">
        <f>Distance!AS50*6</f>
        <v>296.08799999999997</v>
      </c>
      <c r="AT50" s="33">
        <f>Distance!AT50*6</f>
        <v>405.22200000000004</v>
      </c>
      <c r="AU50" s="33">
        <f>Distance!AU50*6</f>
        <v>866.61599999999999</v>
      </c>
      <c r="AV50" s="33">
        <f>Distance!AV50*6</f>
        <v>262.89</v>
      </c>
      <c r="AW50" s="33">
        <f>Distance!AW50*6</f>
        <v>235.38600000000002</v>
      </c>
      <c r="AX50" s="33">
        <v>9999</v>
      </c>
      <c r="AY50" s="33">
        <f>Distance!AY50*6</f>
        <v>202.608</v>
      </c>
      <c r="AZ50" s="33">
        <f>Distance!AZ50*6</f>
        <v>433.81200000000001</v>
      </c>
    </row>
    <row r="51" spans="1:52">
      <c r="A51">
        <v>49</v>
      </c>
      <c r="B51" s="33">
        <f>Distance!B51*6</f>
        <v>147.876</v>
      </c>
      <c r="C51" s="33">
        <f>Distance!C51*6</f>
        <v>221.74799999999999</v>
      </c>
      <c r="D51" s="33">
        <f>Distance!D51*6</f>
        <v>162.93599999999998</v>
      </c>
      <c r="E51" s="33">
        <f>Distance!E51*6</f>
        <v>158.976</v>
      </c>
      <c r="F51" s="33">
        <f>Distance!F51*6</f>
        <v>167.79599999999999</v>
      </c>
      <c r="G51" s="33">
        <f>Distance!G51*6</f>
        <v>155.298</v>
      </c>
      <c r="H51" s="33">
        <f>Distance!H51*6</f>
        <v>163.554</v>
      </c>
      <c r="I51" s="33">
        <f>Distance!I51*6</f>
        <v>162.28799999999998</v>
      </c>
      <c r="J51" s="33">
        <f>Distance!J51*6</f>
        <v>171.714</v>
      </c>
      <c r="K51" s="33">
        <f>Distance!K51*6</f>
        <v>164.256</v>
      </c>
      <c r="L51" s="33">
        <f>Distance!L51*6</f>
        <v>166.76400000000001</v>
      </c>
      <c r="M51" s="33">
        <f>Distance!M51*6</f>
        <v>158.72999999999999</v>
      </c>
      <c r="N51" s="33">
        <f>Distance!N51*6</f>
        <v>160.548</v>
      </c>
      <c r="O51" s="33">
        <f>Distance!O51*6</f>
        <v>157.64999999999998</v>
      </c>
      <c r="P51" s="33">
        <f>Distance!P51*6</f>
        <v>142.494</v>
      </c>
      <c r="Q51" s="33">
        <f>Distance!Q51*6</f>
        <v>219.774</v>
      </c>
      <c r="R51" s="33">
        <f>Distance!R51*6</f>
        <v>173.916</v>
      </c>
      <c r="S51" s="33">
        <f>Distance!S51*6</f>
        <v>160.94999999999999</v>
      </c>
      <c r="T51" s="33">
        <f>Distance!T51*6</f>
        <v>156.732</v>
      </c>
      <c r="U51" s="33">
        <f>Distance!U51*6</f>
        <v>56.975999999999999</v>
      </c>
      <c r="V51" s="33">
        <f>Distance!V51*6</f>
        <v>142.494</v>
      </c>
      <c r="W51" s="33">
        <f>Distance!W51*6</f>
        <v>134.274</v>
      </c>
      <c r="X51" s="33">
        <f>Distance!X51*6</f>
        <v>157.482</v>
      </c>
      <c r="Y51" s="33">
        <f>Distance!Y51*6</f>
        <v>212.88600000000002</v>
      </c>
      <c r="Z51" s="33">
        <f>Distance!Z51*6</f>
        <v>61.992000000000004</v>
      </c>
      <c r="AA51" s="33">
        <f>Distance!AA51*6</f>
        <v>53.748000000000005</v>
      </c>
      <c r="AB51" s="33">
        <f>Distance!AB51*6</f>
        <v>220.626</v>
      </c>
      <c r="AC51" s="33">
        <f>Distance!AC51*6</f>
        <v>794.78399999999999</v>
      </c>
      <c r="AD51" s="33">
        <f>Distance!AD51*6</f>
        <v>27.726000000000003</v>
      </c>
      <c r="AE51" s="33">
        <f>Distance!AE51*6</f>
        <v>197.334</v>
      </c>
      <c r="AF51" s="33">
        <f>Distance!AF51*6</f>
        <v>100.23599999999999</v>
      </c>
      <c r="AG51" s="33">
        <f>Distance!AG51*6</f>
        <v>170.82</v>
      </c>
      <c r="AH51" s="33">
        <f>Distance!AH51*6</f>
        <v>160.83600000000001</v>
      </c>
      <c r="AI51" s="33">
        <f>Distance!AI51*6</f>
        <v>167.37</v>
      </c>
      <c r="AJ51" s="33">
        <f>Distance!AJ51*6</f>
        <v>167.38800000000001</v>
      </c>
      <c r="AK51" s="33">
        <f>Distance!AK51*6</f>
        <v>170.51400000000001</v>
      </c>
      <c r="AL51" s="33">
        <f>Distance!AL51*6</f>
        <v>248.77800000000002</v>
      </c>
      <c r="AM51" s="33">
        <f>Distance!AM51*6</f>
        <v>238.28399999999999</v>
      </c>
      <c r="AN51" s="33">
        <f>Distance!AN51*6</f>
        <v>261.29999999999995</v>
      </c>
      <c r="AO51" s="33">
        <f>Distance!AO51*6</f>
        <v>152.86799999999999</v>
      </c>
      <c r="AP51" s="33">
        <f>Distance!AP51*6</f>
        <v>146.202</v>
      </c>
      <c r="AQ51" s="33">
        <f>Distance!AQ51*6</f>
        <v>209.16</v>
      </c>
      <c r="AR51" s="33">
        <f>Distance!AR51*6</f>
        <v>123.006</v>
      </c>
      <c r="AS51" s="33">
        <f>Distance!AS51*6</f>
        <v>222.50400000000002</v>
      </c>
      <c r="AT51" s="33">
        <f>Distance!AT51*6</f>
        <v>331.63800000000003</v>
      </c>
      <c r="AU51" s="33">
        <f>Distance!AU51*6</f>
        <v>798.31799999999998</v>
      </c>
      <c r="AV51" s="33">
        <f>Distance!AV51*6</f>
        <v>189.30599999999998</v>
      </c>
      <c r="AW51" s="33">
        <f>Distance!AW51*6</f>
        <v>161.80199999999999</v>
      </c>
      <c r="AX51" s="33">
        <f>Distance!AX51*6</f>
        <v>210.91200000000001</v>
      </c>
      <c r="AY51" s="33">
        <v>9999</v>
      </c>
      <c r="AZ51" s="33">
        <f>Distance!AZ51*6</f>
        <v>403.24199999999996</v>
      </c>
    </row>
    <row r="52" spans="1:52">
      <c r="A52">
        <v>50</v>
      </c>
      <c r="B52" s="33">
        <f>Distance!B52*6</f>
        <v>310.04399999999998</v>
      </c>
      <c r="C52" s="33">
        <f>Distance!C52*6</f>
        <v>383.916</v>
      </c>
      <c r="D52" s="33">
        <f>Distance!D52*6</f>
        <v>299.54999999999995</v>
      </c>
      <c r="E52" s="33">
        <f>Distance!E52*6</f>
        <v>300.82799999999997</v>
      </c>
      <c r="F52" s="33">
        <f>Distance!F52*6</f>
        <v>324.048</v>
      </c>
      <c r="G52" s="33">
        <f>Distance!G52*6</f>
        <v>291.61199999999997</v>
      </c>
      <c r="H52" s="33">
        <f>Distance!H52*6</f>
        <v>315.37199999999996</v>
      </c>
      <c r="I52" s="33">
        <f>Distance!I52*6</f>
        <v>304.14</v>
      </c>
      <c r="J52" s="33">
        <f>Distance!J52*6</f>
        <v>302.238</v>
      </c>
      <c r="K52" s="33">
        <f>Distance!K52*6</f>
        <v>288.29399999999998</v>
      </c>
      <c r="L52" s="33">
        <f>Distance!L52*6</f>
        <v>280.50599999999997</v>
      </c>
      <c r="M52" s="33">
        <f>Distance!M52*6</f>
        <v>291.16800000000001</v>
      </c>
      <c r="N52" s="33">
        <f>Distance!N52*6</f>
        <v>290.86199999999997</v>
      </c>
      <c r="O52" s="33">
        <f>Distance!O52*6</f>
        <v>309.39600000000002</v>
      </c>
      <c r="P52" s="33">
        <f>Distance!P52*6</f>
        <v>304.37400000000002</v>
      </c>
      <c r="Q52" s="33">
        <f>Distance!Q52*6</f>
        <v>226.19399999999999</v>
      </c>
      <c r="R52" s="33">
        <f>Distance!R52*6</f>
        <v>290.01</v>
      </c>
      <c r="S52" s="33">
        <f>Distance!S52*6</f>
        <v>296.82599999999996</v>
      </c>
      <c r="T52" s="33">
        <f>Distance!T52*6</f>
        <v>308.54999999999995</v>
      </c>
      <c r="U52" s="33">
        <f>Distance!U52*6</f>
        <v>384.57600000000002</v>
      </c>
      <c r="V52" s="33">
        <f>Distance!V52*6</f>
        <v>304.37400000000002</v>
      </c>
      <c r="W52" s="33">
        <f>Distance!W52*6</f>
        <v>306.36</v>
      </c>
      <c r="X52" s="33">
        <f>Distance!X52*6</f>
        <v>319.64999999999998</v>
      </c>
      <c r="Y52" s="33">
        <f>Distance!Y52*6</f>
        <v>387.16800000000001</v>
      </c>
      <c r="Z52" s="33">
        <f>Distance!Z52*6</f>
        <v>352.62</v>
      </c>
      <c r="AA52" s="33">
        <f>Distance!AA52*6</f>
        <v>381.34800000000001</v>
      </c>
      <c r="AB52" s="33">
        <f>Distance!AB52*6</f>
        <v>490.50600000000003</v>
      </c>
      <c r="AC52" s="33">
        <f>Distance!AC52*6</f>
        <v>928.38599999999997</v>
      </c>
      <c r="AD52" s="33">
        <f>Distance!AD52*6</f>
        <v>419.154</v>
      </c>
      <c r="AE52" s="33">
        <f>Distance!AE52*6</f>
        <v>236.82599999999996</v>
      </c>
      <c r="AF52" s="33">
        <f>Distance!AF52*6</f>
        <v>491.66399999999999</v>
      </c>
      <c r="AG52" s="33">
        <f>Distance!AG52*6</f>
        <v>286.91399999999999</v>
      </c>
      <c r="AH52" s="33">
        <f>Distance!AH52*6</f>
        <v>291.36</v>
      </c>
      <c r="AI52" s="33">
        <f>Distance!AI52*6</f>
        <v>301.81200000000001</v>
      </c>
      <c r="AJ52" s="33">
        <f>Distance!AJ52*6</f>
        <v>297.91200000000003</v>
      </c>
      <c r="AK52" s="33">
        <f>Distance!AK52*6</f>
        <v>286.608</v>
      </c>
      <c r="AL52" s="33">
        <f>Distance!AL52*6</f>
        <v>423.06000000000006</v>
      </c>
      <c r="AM52" s="33">
        <f>Distance!AM52*6</f>
        <v>229.39799999999997</v>
      </c>
      <c r="AN52" s="33">
        <f>Distance!AN52*6</f>
        <v>191.292</v>
      </c>
      <c r="AO52" s="33">
        <f>Distance!AO52*6</f>
        <v>304.61399999999998</v>
      </c>
      <c r="AP52" s="33">
        <f>Distance!AP52*6</f>
        <v>290.50200000000001</v>
      </c>
      <c r="AQ52" s="33">
        <f>Distance!AQ52*6</f>
        <v>383.44200000000001</v>
      </c>
      <c r="AR52" s="33">
        <f>Distance!AR52*6</f>
        <v>328.35599999999999</v>
      </c>
      <c r="AS52" s="33">
        <f>Distance!AS52*6</f>
        <v>384.67199999999997</v>
      </c>
      <c r="AT52" s="33">
        <f>Distance!AT52*6</f>
        <v>505.91999999999996</v>
      </c>
      <c r="AU52" s="33">
        <f>Distance!AU52*6</f>
        <v>931.92</v>
      </c>
      <c r="AV52" s="33">
        <f>Distance!AV52*6</f>
        <v>351.47399999999999</v>
      </c>
      <c r="AW52" s="33">
        <f>Distance!AW52*6</f>
        <v>323.96999999999997</v>
      </c>
      <c r="AX52" s="33">
        <f>Distance!AX52*6</f>
        <v>441.91200000000003</v>
      </c>
      <c r="AY52" s="33">
        <f>Distance!AY52*6</f>
        <v>404.952</v>
      </c>
      <c r="AZ52" s="33">
        <v>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99BF-6896-442C-84A6-F7C3DA45D1F2}">
  <dimension ref="A1"/>
  <sheetViews>
    <sheetView workbookViewId="0">
      <selection activeCell="B1" sqref="B1"/>
    </sheetView>
  </sheetViews>
  <sheetFormatPr defaultRowHeight="15"/>
  <sheetData>
    <row r="1" spans="1:1">
      <c r="A1">
        <v>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Questionaire</vt:lpstr>
      <vt:lpstr>Data_Adj</vt:lpstr>
      <vt:lpstr>LaLong</vt:lpstr>
      <vt:lpstr>Distance</vt:lpstr>
      <vt:lpstr>Input</vt:lpstr>
      <vt:lpstr>Time</vt:lpstr>
      <vt:lpstr>Cost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NTCH</dc:creator>
  <cp:lastModifiedBy>CB-PC</cp:lastModifiedBy>
  <dcterms:created xsi:type="dcterms:W3CDTF">2025-05-05T15:39:55Z</dcterms:created>
  <dcterms:modified xsi:type="dcterms:W3CDTF">2025-06-01T10:51:29Z</dcterms:modified>
</cp:coreProperties>
</file>